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C:\Users\lenovo\Desktop\"/>
    </mc:Choice>
  </mc:AlternateContent>
  <xr:revisionPtr revIDLastSave="0" documentId="13_ncr:1_{3C62A537-1CF5-4C89-B5EF-3338CB104DFD}" xr6:coauthVersionLast="36" xr6:coauthVersionMax="36" xr10:uidLastSave="{00000000-0000-0000-0000-000000000000}"/>
  <bookViews>
    <workbookView xWindow="0" yWindow="0" windowWidth="20490" windowHeight="8820" firstSheet="1" activeTab="4" xr2:uid="{00000000-000D-0000-FFFF-FFFF00000000}"/>
  </bookViews>
  <sheets>
    <sheet name="Raw_Sales_Data.xlsx" sheetId="7" r:id="rId1"/>
    <sheet name="Cleaned_Sales_Data.xlsx" sheetId="1" r:id="rId2"/>
    <sheet name="Calculated Values" sheetId="2" r:id="rId3"/>
    <sheet name=" Pivot_Tables.xlsxx" sheetId="4" r:id="rId4"/>
    <sheet name="Excel_Dashboard.xlsx" sheetId="6" r:id="rId5"/>
  </sheets>
  <definedNames>
    <definedName name="Slicer_Category1">#N/A</definedName>
    <definedName name="Slicer_Order_Date">#N/A</definedName>
    <definedName name="Slicer_Quantity">#N/A</definedName>
    <definedName name="Slicer_Unit_Pric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7" i="1" l="1"/>
  <c r="E2" i="2" l="1"/>
  <c r="C2" i="2"/>
  <c r="A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8707F8-AEE8-4A4B-8E28-9CA427C5FB70}" keepAlive="1" name="Query - sales_project_table" description="Connection to the 'sales_project_table' query in the workbook." type="5" refreshedVersion="6" background="1">
    <dbPr connection="Provider=Microsoft.Mashup.OleDb.1;Data Source=$Workbook$;Location=sales_project_table;Extended Properties=&quot;&quot;" command="SELECT * FROM [sales_project_table]"/>
  </connection>
</connections>
</file>

<file path=xl/sharedStrings.xml><?xml version="1.0" encoding="utf-8"?>
<sst xmlns="http://schemas.openxmlformats.org/spreadsheetml/2006/main" count="241" uniqueCount="121">
  <si>
    <t>Order_ID</t>
  </si>
  <si>
    <t>Order_Date</t>
  </si>
  <si>
    <t>Customer_Name</t>
  </si>
  <si>
    <t>Product</t>
  </si>
  <si>
    <t>Category</t>
  </si>
  <si>
    <t>Quantity</t>
  </si>
  <si>
    <t>Unit_Price</t>
  </si>
  <si>
    <t>Total_Sales</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</si>
  <si>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</si>
  <si>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</si>
  <si>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</si>
  <si>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</si>
  <si>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</si>
  <si>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</si>
  <si>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</si>
  <si>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</si>
  <si>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</si>
  <si>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</si>
  <si>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</si>
  <si>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</si>
  <si>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</si>
  <si>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</si>
  <si>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</si>
  <si>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</si>
  <si>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</si>
  <si>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</si>
  <si>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</si>
  <si>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</si>
  <si>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</si>
  <si>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</si>
  <si>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</si>
  <si>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</si>
  <si>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</si>
  <si>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</si>
  <si>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</si>
  <si>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</si>
  <si>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</si>
  <si>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</si>
  <si>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Aarav</t>
  </si>
  <si>
    <t>Ananya</t>
  </si>
  <si>
    <t>Rohit</t>
  </si>
  <si>
    <t>Priya</t>
  </si>
  <si>
    <t>Karthik</t>
  </si>
  <si>
    <t>Sneha</t>
  </si>
  <si>
    <t>Vikram</t>
  </si>
  <si>
    <t>Pooja</t>
  </si>
  <si>
    <t>Rahul</t>
  </si>
  <si>
    <t>Neha</t>
  </si>
  <si>
    <t>Suresh</t>
  </si>
  <si>
    <t>Divya</t>
  </si>
  <si>
    <t>Arjun</t>
  </si>
  <si>
    <t>Kavya</t>
  </si>
  <si>
    <t>Manoj</t>
  </si>
  <si>
    <t>Ritu</t>
  </si>
  <si>
    <t>Amit</t>
  </si>
  <si>
    <t>Shalini</t>
  </si>
  <si>
    <t>Naveen</t>
  </si>
  <si>
    <t>Swathi</t>
  </si>
  <si>
    <t>Deepak</t>
  </si>
  <si>
    <t>Meera</t>
  </si>
  <si>
    <t>Sanjay</t>
  </si>
  <si>
    <t>Isha</t>
  </si>
  <si>
    <t>Prakash</t>
  </si>
  <si>
    <t>Anita</t>
  </si>
  <si>
    <t>Vivek</t>
  </si>
  <si>
    <t>Lakshmi</t>
  </si>
  <si>
    <t>Ramesh</t>
  </si>
  <si>
    <t>Nidhi</t>
  </si>
  <si>
    <t>Laptop</t>
  </si>
  <si>
    <t>Mobile</t>
  </si>
  <si>
    <t>Tablet</t>
  </si>
  <si>
    <t>Headphones</t>
  </si>
  <si>
    <t>Monitor</t>
  </si>
  <si>
    <t>Keyboard</t>
  </si>
  <si>
    <t>Mouse</t>
  </si>
  <si>
    <t>Printer</t>
  </si>
  <si>
    <t>Camera</t>
  </si>
  <si>
    <t>Smartwatch</t>
  </si>
  <si>
    <t>Electronics</t>
  </si>
  <si>
    <t>Accessories</t>
  </si>
  <si>
    <t>Total Revenew</t>
  </si>
  <si>
    <t>Total Orders</t>
  </si>
  <si>
    <t>Total Quantity sold</t>
  </si>
  <si>
    <t>Average order value</t>
  </si>
  <si>
    <t>Row Labels</t>
  </si>
  <si>
    <t>Grand Total</t>
  </si>
  <si>
    <t>Sum of Total_Sales</t>
  </si>
  <si>
    <t>Products</t>
  </si>
  <si>
    <t>Unit Price</t>
  </si>
  <si>
    <t>Order_ID	Order_Date	Customer_Name	Product	Category	Quantity	Unit_Price	Total_Sales</t>
  </si>
  <si>
    <t>ORD1001	01-01-2025 00:00	Aarav	Laptop	Electronics	1	55000	55000</t>
  </si>
  <si>
    <t>ORD1002	02-01-2025 00:00	Ananya	Mobile	Electronics	2	20000	40000</t>
  </si>
  <si>
    <t>ORD1003	03-01-2025 00:00	Rohit	Tablet	Electronics	1	30000	30000</t>
  </si>
  <si>
    <t>ORD1004	04-01-2025 00:00	Priya	Headphones	Accessories	3	2000	6000</t>
  </si>
  <si>
    <t>ORD1005	05-01-2025 00:00	Karthik	Monitor	Electronics	2	15000	30000</t>
  </si>
  <si>
    <t>ORD1006	06-01-2025 00:00	Sneha	Keyboard	Accessories	1	1500	1500</t>
  </si>
  <si>
    <t>ORD1007	07-01-2025 00:00	Vikram	Mouse	Accessories	2	800	1600</t>
  </si>
  <si>
    <t>ORD1008	08-01-2025 00:00	Pooja	Printer	Electronics	1	12000	12000</t>
  </si>
  <si>
    <t>ORD1009	09-01-2025 00:00	Rahul	Camera	Electronics	1	25000	25000</t>
  </si>
  <si>
    <t>ORD1010	10-01-2025 00:00	Neha	Smartwatch	Electronics	2	18000	36000</t>
  </si>
  <si>
    <t>ORD1011	11-01-2025 00:00	Suresh	Laptop	Electronics	1	55000	55000</t>
  </si>
  <si>
    <t>ORD1012	12-01-2025 00:00	Divya	Mobile	Electronics	2	20000	40000</t>
  </si>
  <si>
    <t>ORD1013	13-01-2025 00:00	Arjun	Tablet	Electronics	1	30000	30000</t>
  </si>
  <si>
    <t>ORD1014	14-01-2025 00:00	Kavya	Headphones	Accessories	3	2000	6000</t>
  </si>
  <si>
    <t>ORD1015	15-01-2025 00:00	Manoj	Monitor	Electronics	2	15000	30000</t>
  </si>
  <si>
    <t>ORD1016	16-01-2025 00:00	Ritu	Keyboard	Accessories	1	1500	1500</t>
  </si>
  <si>
    <t>ORD1017	17-01-2025 00:00	Amit	Mouse	Accessories	2	800	1600</t>
  </si>
  <si>
    <t>ORD1018	18-01-2025 00:00	Shalini	Printer	Electronics	1	12000	12000</t>
  </si>
  <si>
    <t>ORD1019	19-01-2025 00:00	Naveen	Camera	Electronics	1	25000	25000</t>
  </si>
  <si>
    <t>ORD1020	20-01-2025 00:00	Swathi	Smartwatch	Electronics	2	18000	36000</t>
  </si>
  <si>
    <t>ORD1021	21-01-2025 00:00	Deepak	Laptop	Electronics	1	55000	55000</t>
  </si>
  <si>
    <t>ORD1022	22-01-2025 00:00	Meera	Mobile	Electronics	2	20000	40000</t>
  </si>
  <si>
    <t>ORD1023	23-01-2025 00:00	Sanjay	Tablet	Electronics	1	30000	30000</t>
  </si>
  <si>
    <t>ORD1024	24-01-2025 00:00	Isha	Headphones	Accessories	3	2000	6000</t>
  </si>
  <si>
    <t>ORD1025	25-01-2025 00:00	Prakash	Monitor	Electronics	2	15000	30000</t>
  </si>
  <si>
    <t>ORD1026	26-01-2025 00:00	Anita	Keyboard	Accessories	1	1500	1500</t>
  </si>
  <si>
    <t>ORD1027	27-01-2025 00:00	Vivek	Mouse	Accessories	2	800	1600</t>
  </si>
  <si>
    <t>ORD1028	28-01-2025 00:00	Lakshmi	Printer	Electronics	1	12000	12000</t>
  </si>
  <si>
    <t>ORD1029	29-01-2025 00:00	Ramesh	Camera	Electronics	1	25000	25000</t>
  </si>
  <si>
    <t>ORD1030	30-01-2025 00:00	Nidhi	Smartwatch	Electronics	2	18000	36000</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</si>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</sst>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0"/>
      <name val="Calibri"/>
      <family val="2"/>
      <scheme val="minor"/>
    </font>
    <font>
      <sz val="11"/>
      <color rgb="FF00B050"/>
      <name val="Calibri"/>
      <family val="2"/>
      <scheme val="minor"/>
    </font>
    <font>
      <b/>
      <sz val="11"/>
      <color rgb="FFFF000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s>
  <borders count="7">
    <border>
      <left/>
      <right/>
      <top/>
      <bottom/>
      <diagonal/>
    </border>
    <border>
      <left style="thin">
        <color theme="0"/>
      </left>
      <right/>
      <top style="thin">
        <color theme="0"/>
      </top>
      <bottom/>
      <diagonal/>
    </border>
    <border>
      <left/>
      <right/>
      <top style="thin">
        <color auto="1"/>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0" fillId="0" borderId="0" xfId="0"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2" fontId="0" fillId="2" borderId="1" xfId="0" applyNumberFormat="1" applyFont="1" applyFill="1" applyBorder="1" applyAlignment="1">
      <alignment horizontal="center"/>
    </xf>
    <xf numFmtId="0" fontId="0" fillId="3" borderId="2" xfId="0" applyFont="1" applyFill="1" applyBorder="1" applyAlignment="1">
      <alignment horizontal="center"/>
    </xf>
    <xf numFmtId="0" fontId="0" fillId="3" borderId="3" xfId="0" applyFont="1" applyFill="1" applyBorder="1" applyAlignment="1">
      <alignment horizontal="center"/>
    </xf>
    <xf numFmtId="2" fontId="0" fillId="3" borderId="3" xfId="0" applyNumberFormat="1" applyFont="1" applyFill="1" applyBorder="1" applyAlignment="1">
      <alignment horizontal="center"/>
    </xf>
    <xf numFmtId="0" fontId="0" fillId="2" borderId="4" xfId="0" applyFont="1" applyFill="1" applyBorder="1" applyAlignment="1">
      <alignment horizontal="center"/>
    </xf>
    <xf numFmtId="0" fontId="0" fillId="2" borderId="1" xfId="0" applyFont="1" applyFill="1" applyBorder="1" applyAlignment="1">
      <alignment horizontal="center"/>
    </xf>
    <xf numFmtId="0" fontId="0" fillId="3" borderId="4" xfId="0" applyFont="1" applyFill="1" applyBorder="1" applyAlignment="1">
      <alignment horizontal="center"/>
    </xf>
    <xf numFmtId="0" fontId="0" fillId="3" borderId="1" xfId="0" applyFont="1" applyFill="1" applyBorder="1" applyAlignment="1">
      <alignment horizontal="center"/>
    </xf>
    <xf numFmtId="2" fontId="0" fillId="3" borderId="1" xfId="0" applyNumberFormat="1" applyFont="1" applyFill="1" applyBorder="1" applyAlignment="1">
      <alignment horizontal="center"/>
    </xf>
    <xf numFmtId="14" fontId="0" fillId="3" borderId="3" xfId="0" applyNumberFormat="1" applyFont="1" applyFill="1" applyBorder="1" applyAlignment="1">
      <alignment horizontal="center"/>
    </xf>
    <xf numFmtId="0" fontId="1" fillId="4" borderId="5" xfId="0" applyFont="1" applyFill="1" applyBorder="1" applyAlignment="1">
      <alignment horizontal="center" vertical="top"/>
    </xf>
    <xf numFmtId="2" fontId="1" fillId="4" borderId="5" xfId="0" applyNumberFormat="1" applyFont="1" applyFill="1" applyBorder="1" applyAlignment="1">
      <alignment horizontal="center" vertical="top"/>
    </xf>
    <xf numFmtId="2" fontId="1" fillId="4" borderId="6" xfId="0" applyNumberFormat="1" applyFont="1" applyFill="1" applyBorder="1" applyAlignment="1">
      <alignment horizontal="center" vertical="top"/>
    </xf>
    <xf numFmtId="0" fontId="0" fillId="0" borderId="0" xfId="0" applyAlignment="1">
      <alignment horizontal="left" indent="1"/>
    </xf>
    <xf numFmtId="0" fontId="2" fillId="0" borderId="0" xfId="0" applyFont="1"/>
    <xf numFmtId="0" fontId="3" fillId="0" borderId="0" xfId="0" applyFont="1"/>
  </cellXfs>
  <cellStyles count="1">
    <cellStyle name="Normal" xfId="0" builtinId="0"/>
  </cellStyles>
  <dxfs count="12">
    <dxf>
      <font>
        <b/>
        <i val="0"/>
        <strike val="0"/>
        <condense val="0"/>
        <extend val="0"/>
        <outline val="0"/>
        <shadow val="0"/>
        <u val="none"/>
        <vertAlign val="baseline"/>
        <sz val="11"/>
        <color rgb="FFFF0000"/>
        <name val="Calibri"/>
        <family val="2"/>
        <scheme val="minor"/>
      </font>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0"/>
        </top>
        <bottom/>
        <vertical/>
        <horizontal/>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[Sales_Project_Table.xlsx] Pivot_Tables.xlsxx!PivotTable1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Date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s>
    <c:plotArea>
      <c:layout/>
      <c:barChart>
        <c:barDir val="bar"/>
        <c:grouping val="clustered"/>
        <c:varyColors val="0"/>
        <c:ser>
          <c:idx val="0"/>
          <c:order val="0"/>
          <c:tx>
            <c:strRef>
              <c:f>' Pivot_Tables.xlsxx'!$K$1</c:f>
              <c:strCache>
                <c:ptCount val="1"/>
                <c:pt idx="0">
                  <c:v>Total</c:v>
                </c:pt>
              </c:strCache>
            </c:strRef>
          </c:tx>
          <c:spPr>
            <a:solidFill>
              <a:schemeClr val="accent1"/>
            </a:solidFill>
            <a:ln>
              <a:noFill/>
            </a:ln>
            <a:effectLst/>
          </c:spPr>
          <c:invertIfNegative val="0"/>
          <c:cat>
            <c:strRef>
              <c:f>' Pivot_Tables.xlsxx'!$J$2:$J$12</c:f>
              <c:strCache>
                <c:ptCount val="10"/>
                <c:pt idx="0">
                  <c:v>Camera</c:v>
                </c:pt>
                <c:pt idx="1">
                  <c:v>Headphones</c:v>
                </c:pt>
                <c:pt idx="2">
                  <c:v>Keyboard</c:v>
                </c:pt>
                <c:pt idx="3">
                  <c:v>Laptop</c:v>
                </c:pt>
                <c:pt idx="4">
                  <c:v>Mobile</c:v>
                </c:pt>
                <c:pt idx="5">
                  <c:v>Monitor</c:v>
                </c:pt>
                <c:pt idx="6">
                  <c:v>Mouse</c:v>
                </c:pt>
                <c:pt idx="7">
                  <c:v>Printer</c:v>
                </c:pt>
                <c:pt idx="8">
                  <c:v>Smartwatch</c:v>
                </c:pt>
                <c:pt idx="9">
                  <c:v>Tablet</c:v>
                </c:pt>
              </c:strCache>
            </c:strRef>
          </c:cat>
          <c:val>
            <c:numRef>
              <c:f>' Pivot_Tables.xlsxx'!$K$2:$K$12</c:f>
              <c:numCache>
                <c:formatCode>General</c:formatCode>
                <c:ptCount val="10"/>
                <c:pt idx="0">
                  <c:v>75000</c:v>
                </c:pt>
                <c:pt idx="1">
                  <c:v>18000</c:v>
                </c:pt>
                <c:pt idx="2">
                  <c:v>4500</c:v>
                </c:pt>
                <c:pt idx="3">
                  <c:v>165000</c:v>
                </c:pt>
                <c:pt idx="4">
                  <c:v>120000</c:v>
                </c:pt>
                <c:pt idx="5">
                  <c:v>90000</c:v>
                </c:pt>
                <c:pt idx="6">
                  <c:v>4800</c:v>
                </c:pt>
                <c:pt idx="7">
                  <c:v>36000</c:v>
                </c:pt>
                <c:pt idx="8">
                  <c:v>108000</c:v>
                </c:pt>
                <c:pt idx="9">
                  <c:v>90000</c:v>
                </c:pt>
              </c:numCache>
            </c:numRef>
          </c:val>
          <c:extLst>
            <c:ext xmlns:c16="http://schemas.microsoft.com/office/drawing/2014/chart" uri="{C3380CC4-5D6E-409C-BE32-E72D297353CC}">
              <c16:uniqueId val="{00000018-092B-4CC2-806C-65AF7EDFA1C1}"/>
            </c:ext>
          </c:extLst>
        </c:ser>
        <c:dLbls>
          <c:showLegendKey val="0"/>
          <c:showVal val="0"/>
          <c:showCatName val="0"/>
          <c:showSerName val="0"/>
          <c:showPercent val="0"/>
          <c:showBubbleSize val="0"/>
        </c:dLbls>
        <c:gapWidth val="219"/>
        <c:axId val="539597215"/>
        <c:axId val="537447903"/>
      </c:barChart>
      <c:catAx>
        <c:axId val="5395972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47903"/>
        <c:crosses val="autoZero"/>
        <c:auto val="1"/>
        <c:lblAlgn val="ctr"/>
        <c:lblOffset val="100"/>
        <c:noMultiLvlLbl val="0"/>
      </c:catAx>
      <c:valAx>
        <c:axId val="53744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59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[Sales_Project_Table.xlsx] Pivot_Tables.xlsxx!sum of sales by product</c:name>
    <c:fmtId val="2"/>
  </c:pivotSource>
  <c:chart>
    <c:title>
      <c:tx>
        <c:rich>
          <a:bodyPr rot="0" spcFirstLastPara="1" vertOverflow="ellipsis" vert="horz" wrap="square" anchor="ctr" anchorCtr="1"/>
          <a:lstStyle/>
          <a:p>
            <a:pPr>
              <a:defRPr sz="1400" b="0" i="0" u="none" strike="noStrike" kern="1200" cap="none" spc="0" baseline="0">
                <a:ln w="0"/>
                <a:solidFill>
                  <a:schemeClr val="tx1">
                    <a:lumMod val="50000"/>
                    <a:lumOff val="50000"/>
                  </a:schemeClr>
                </a:solidFill>
                <a:effectLst>
                  <a:outerShdw blurRad="38100" dist="19050" dir="2700000" algn="tl" rotWithShape="0">
                    <a:schemeClr val="dk1">
                      <a:alpha val="40000"/>
                    </a:schemeClr>
                  </a:outerShdw>
                </a:effectLst>
                <a:latin typeface="+mn-lt"/>
                <a:ea typeface="+mn-ea"/>
                <a:cs typeface="+mn-cs"/>
              </a:defRPr>
            </a:pPr>
            <a:r>
              <a:rPr lang="en-US" sz="1200">
                <a:solidFill>
                  <a:schemeClr val="tx1">
                    <a:lumMod val="50000"/>
                    <a:lumOff val="50000"/>
                  </a:schemeClr>
                </a:solidFill>
              </a:rPr>
              <a:t>Sum</a:t>
            </a:r>
            <a:r>
              <a:rPr lang="en-US" sz="1200" baseline="0">
                <a:solidFill>
                  <a:schemeClr val="tx1">
                    <a:lumMod val="50000"/>
                    <a:lumOff val="50000"/>
                  </a:schemeClr>
                </a:solidFill>
              </a:rPr>
              <a:t> Of Sales By Product</a:t>
            </a:r>
            <a:endParaRPr lang="en-US" sz="1200">
              <a:solidFill>
                <a:schemeClr val="tx1">
                  <a:lumMod val="50000"/>
                  <a:lumOff val="50000"/>
                </a:schemeClr>
              </a:solidFill>
            </a:endParaRPr>
          </a:p>
        </c:rich>
      </c:tx>
      <c:layout>
        <c:manualLayout>
          <c:xMode val="edge"/>
          <c:yMode val="edge"/>
          <c:x val="0"/>
          <c:y val="3.931257336551524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lumMod val="50000"/>
                  <a:lumOff val="50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lumMod val="50000"/>
                      <a:lumOff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412679184332726E-2"/>
          <c:y val="0.15450691779105505"/>
          <c:w val="0.9453503524628738"/>
          <c:h val="0.53854205410253364"/>
        </c:manualLayout>
      </c:layout>
      <c:barChart>
        <c:barDir val="col"/>
        <c:grouping val="clustered"/>
        <c:varyColors val="0"/>
        <c:ser>
          <c:idx val="0"/>
          <c:order val="0"/>
          <c:tx>
            <c:strRef>
              <c:f>' Pivot_Tables.xlsxx'!$E$4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lumMod val="50000"/>
                        <a:lumOff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Pivot_Tables.xlsxx'!$D$5:$D$15</c:f>
              <c:strCache>
                <c:ptCount val="10"/>
                <c:pt idx="0">
                  <c:v>Camera</c:v>
                </c:pt>
                <c:pt idx="1">
                  <c:v>Headphones</c:v>
                </c:pt>
                <c:pt idx="2">
                  <c:v>Keyboard</c:v>
                </c:pt>
                <c:pt idx="3">
                  <c:v>Laptop</c:v>
                </c:pt>
                <c:pt idx="4">
                  <c:v>Mobile</c:v>
                </c:pt>
                <c:pt idx="5">
                  <c:v>Monitor</c:v>
                </c:pt>
                <c:pt idx="6">
                  <c:v>Mouse</c:v>
                </c:pt>
                <c:pt idx="7">
                  <c:v>Printer</c:v>
                </c:pt>
                <c:pt idx="8">
                  <c:v>Smartwatch</c:v>
                </c:pt>
                <c:pt idx="9">
                  <c:v>Tablet</c:v>
                </c:pt>
              </c:strCache>
            </c:strRef>
          </c:cat>
          <c:val>
            <c:numRef>
              <c:f>' Pivot_Tables.xlsxx'!$E$5:$E$15</c:f>
              <c:numCache>
                <c:formatCode>General</c:formatCode>
                <c:ptCount val="10"/>
                <c:pt idx="0">
                  <c:v>75000</c:v>
                </c:pt>
                <c:pt idx="1">
                  <c:v>18000</c:v>
                </c:pt>
                <c:pt idx="2">
                  <c:v>4500</c:v>
                </c:pt>
                <c:pt idx="3">
                  <c:v>165000</c:v>
                </c:pt>
                <c:pt idx="4">
                  <c:v>120000</c:v>
                </c:pt>
                <c:pt idx="5">
                  <c:v>90000</c:v>
                </c:pt>
                <c:pt idx="6">
                  <c:v>4800</c:v>
                </c:pt>
                <c:pt idx="7">
                  <c:v>36000</c:v>
                </c:pt>
                <c:pt idx="8">
                  <c:v>108000</c:v>
                </c:pt>
                <c:pt idx="9">
                  <c:v>90000</c:v>
                </c:pt>
              </c:numCache>
            </c:numRef>
          </c:val>
          <c:extLst>
            <c:ext xmlns:c16="http://schemas.microsoft.com/office/drawing/2014/chart" uri="{C3380CC4-5D6E-409C-BE32-E72D297353CC}">
              <c16:uniqueId val="{00000000-2928-426D-8397-A779A44E7756}"/>
            </c:ext>
          </c:extLst>
        </c:ser>
        <c:dLbls>
          <c:dLblPos val="outEnd"/>
          <c:showLegendKey val="0"/>
          <c:showVal val="1"/>
          <c:showCatName val="0"/>
          <c:showSerName val="0"/>
          <c:showPercent val="0"/>
          <c:showBubbleSize val="0"/>
        </c:dLbls>
        <c:gapWidth val="219"/>
        <c:overlap val="-27"/>
        <c:axId val="540640399"/>
        <c:axId val="477247599"/>
      </c:barChart>
      <c:catAx>
        <c:axId val="540640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lumMod val="65000"/>
                    <a:lumOff val="3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477247599"/>
        <c:crosses val="autoZero"/>
        <c:auto val="1"/>
        <c:lblAlgn val="ctr"/>
        <c:lblOffset val="100"/>
        <c:noMultiLvlLbl val="0"/>
      </c:catAx>
      <c:valAx>
        <c:axId val="477247599"/>
        <c:scaling>
          <c:orientation val="minMax"/>
        </c:scaling>
        <c:delete val="1"/>
        <c:axPos val="l"/>
        <c:numFmt formatCode="General" sourceLinked="1"/>
        <c:majorTickMark val="out"/>
        <c:minorTickMark val="none"/>
        <c:tickLblPos val="nextTo"/>
        <c:crossAx val="540640399"/>
        <c:crosses val="autoZero"/>
        <c:crossBetween val="between"/>
      </c:valAx>
      <c:spPr>
        <a:solidFill>
          <a:schemeClr val="accent4">
            <a:lumMod val="40000"/>
            <a:lumOff val="6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[Sales_Project_Table.xlsx] Pivot_Tables.xlsxx!sum of sales by category</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ysClr val="windowText" lastClr="000000"/>
            </a:solidFill>
          </a:ln>
          <a:effectLst/>
          <a:sp3d contourW="25400">
            <a:contourClr>
              <a:sysClr val="windowText" lastClr="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ysClr val="windowText" lastClr="000000"/>
            </a:solidFill>
          </a:ln>
          <a:effectLst/>
          <a:sp3d contourW="25400">
            <a:contourClr>
              <a:sysClr val="windowText" lastClr="000000"/>
            </a:contourClr>
          </a:sp3d>
        </c:spPr>
      </c:pivotFmt>
      <c:pivotFmt>
        <c:idx val="2"/>
        <c:spPr>
          <a:solidFill>
            <a:schemeClr val="accent1"/>
          </a:solidFill>
          <a:ln w="25400">
            <a:solidFill>
              <a:sysClr val="windowText" lastClr="000000"/>
            </a:solidFill>
          </a:ln>
          <a:effectLst/>
          <a:sp3d contourW="25400">
            <a:contourClr>
              <a:sysClr val="windowText" lastClr="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ysClr val="windowText" lastClr="000000"/>
            </a:solidFill>
          </a:ln>
          <a:effectLst/>
          <a:sp3d contourW="25400">
            <a:contourClr>
              <a:sysClr val="windowText" lastClr="000000"/>
            </a:contourClr>
          </a:sp3d>
        </c:spPr>
      </c:pivotFmt>
      <c:pivotFmt>
        <c:idx val="4"/>
        <c:spPr>
          <a:solidFill>
            <a:schemeClr val="accent1"/>
          </a:solidFill>
          <a:ln w="25400">
            <a:solidFill>
              <a:sysClr val="windowText" lastClr="000000"/>
            </a:solidFill>
          </a:ln>
          <a:effectLst/>
          <a:sp3d contourW="25400">
            <a:contourClr>
              <a:sysClr val="windowText" lastClr="000000"/>
            </a:contourClr>
          </a:sp3d>
        </c:spPr>
      </c:pivotFmt>
      <c:pivotFmt>
        <c:idx val="5"/>
        <c:spPr>
          <a:solidFill>
            <a:schemeClr val="accent1"/>
          </a:solidFill>
          <a:ln w="25400">
            <a:solidFill>
              <a:sysClr val="windowText" lastClr="000000"/>
            </a:solidFill>
          </a:ln>
          <a:effectLst/>
          <a:sp3d contourW="25400">
            <a:contourClr>
              <a:sysClr val="windowText" lastClr="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ysClr val="windowText" lastClr="000000"/>
            </a:solidFill>
          </a:ln>
          <a:effectLst/>
          <a:sp3d contourW="25400">
            <a:contourClr>
              <a:sysClr val="windowText" lastClr="000000"/>
            </a:contourClr>
          </a:sp3d>
        </c:spPr>
      </c:pivotFmt>
      <c:pivotFmt>
        <c:idx val="7"/>
        <c:spPr>
          <a:solidFill>
            <a:schemeClr val="accent1"/>
          </a:solidFill>
          <a:ln w="25400">
            <a:solidFill>
              <a:sysClr val="windowText" lastClr="000000"/>
            </a:solidFill>
          </a:ln>
          <a:effectLst/>
          <a:sp3d contourW="25400">
            <a:contourClr>
              <a:sysClr val="windowText" lastClr="000000"/>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Pivot_Tables.xlsxx'!$B$3</c:f>
              <c:strCache>
                <c:ptCount val="1"/>
                <c:pt idx="0">
                  <c:v>Total</c:v>
                </c:pt>
              </c:strCache>
            </c:strRef>
          </c:tx>
          <c:spPr>
            <a:ln>
              <a:solidFill>
                <a:sysClr val="windowText" lastClr="000000"/>
              </a:solidFill>
            </a:ln>
          </c:spPr>
          <c:explosion val="3"/>
          <c:dPt>
            <c:idx val="0"/>
            <c:bubble3D val="0"/>
            <c:spPr>
              <a:solidFill>
                <a:schemeClr val="accent1"/>
              </a:solidFill>
              <a:ln w="25400">
                <a:solidFill>
                  <a:sysClr val="windowText" lastClr="000000"/>
                </a:solidFill>
              </a:ln>
              <a:effectLst/>
              <a:sp3d contourW="25400">
                <a:contourClr>
                  <a:sysClr val="windowText" lastClr="000000"/>
                </a:contourClr>
              </a:sp3d>
            </c:spPr>
            <c:extLst>
              <c:ext xmlns:c16="http://schemas.microsoft.com/office/drawing/2014/chart" uri="{C3380CC4-5D6E-409C-BE32-E72D297353CC}">
                <c16:uniqueId val="{00000001-69DE-4FC7-ADD1-EDC5A4F9A5E5}"/>
              </c:ext>
            </c:extLst>
          </c:dPt>
          <c:dPt>
            <c:idx val="1"/>
            <c:bubble3D val="0"/>
            <c:spPr>
              <a:solidFill>
                <a:schemeClr val="accent2"/>
              </a:solidFill>
              <a:ln w="25400">
                <a:solidFill>
                  <a:sysClr val="windowText" lastClr="000000"/>
                </a:solidFill>
              </a:ln>
              <a:effectLst/>
              <a:sp3d contourW="25400">
                <a:contourClr>
                  <a:sysClr val="windowText" lastClr="000000"/>
                </a:contourClr>
              </a:sp3d>
            </c:spPr>
            <c:extLst>
              <c:ext xmlns:c16="http://schemas.microsoft.com/office/drawing/2014/chart" uri="{C3380CC4-5D6E-409C-BE32-E72D297353CC}">
                <c16:uniqueId val="{00000003-69DE-4FC7-ADD1-EDC5A4F9A5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Pivot_Tables.xlsxx'!$A$4:$A$6</c:f>
              <c:strCache>
                <c:ptCount val="2"/>
                <c:pt idx="0">
                  <c:v>Accessories</c:v>
                </c:pt>
                <c:pt idx="1">
                  <c:v>Electronics</c:v>
                </c:pt>
              </c:strCache>
            </c:strRef>
          </c:cat>
          <c:val>
            <c:numRef>
              <c:f>' Pivot_Tables.xlsxx'!$B$4:$B$6</c:f>
              <c:numCache>
                <c:formatCode>General</c:formatCode>
                <c:ptCount val="2"/>
                <c:pt idx="0">
                  <c:v>27300</c:v>
                </c:pt>
                <c:pt idx="1">
                  <c:v>684000</c:v>
                </c:pt>
              </c:numCache>
            </c:numRef>
          </c:val>
          <c:extLst>
            <c:ext xmlns:c16="http://schemas.microsoft.com/office/drawing/2014/chart" uri="{C3380CC4-5D6E-409C-BE32-E72D297353CC}">
              <c16:uniqueId val="{00000004-69DE-4FC7-ADD1-EDC5A4F9A5E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28575</xdr:colOff>
      <xdr:row>11</xdr:row>
      <xdr:rowOff>9525</xdr:rowOff>
    </xdr:from>
    <xdr:to>
      <xdr:col>4</xdr:col>
      <xdr:colOff>981075</xdr:colOff>
      <xdr:row>18</xdr:row>
      <xdr:rowOff>57150</xdr:rowOff>
    </xdr:to>
    <mc:AlternateContent xmlns:mc="http://schemas.openxmlformats.org/markup-compatibility/2006" xmlns:a14="http://schemas.microsoft.com/office/drawing/2010/main">
      <mc:Choice Requires="a14">
        <xdr:graphicFrame macro="">
          <xdr:nvGraphicFramePr>
            <xdr:cNvPr id="5" name="Quantity">
              <a:extLst>
                <a:ext uri="{FF2B5EF4-FFF2-40B4-BE49-F238E27FC236}">
                  <a16:creationId xmlns:a16="http://schemas.microsoft.com/office/drawing/2014/main" id="{6628AF70-6CAD-469B-9E3C-C18588AC4566}"/>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2705100" y="2105025"/>
              <a:ext cx="18288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xdr:colOff>
      <xdr:row>0</xdr:row>
      <xdr:rowOff>85725</xdr:rowOff>
    </xdr:from>
    <xdr:to>
      <xdr:col>8</xdr:col>
      <xdr:colOff>752475</xdr:colOff>
      <xdr:row>7</xdr:row>
      <xdr:rowOff>0</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BCF08F4C-53E2-4566-92C9-EB86E9F8548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286500" y="85725"/>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0</xdr:row>
      <xdr:rowOff>38100</xdr:rowOff>
    </xdr:from>
    <xdr:to>
      <xdr:col>12</xdr:col>
      <xdr:colOff>1057275</xdr:colOff>
      <xdr:row>13</xdr:row>
      <xdr:rowOff>85725</xdr:rowOff>
    </xdr:to>
    <mc:AlternateContent xmlns:mc="http://schemas.openxmlformats.org/markup-compatibility/2006" xmlns:a14="http://schemas.microsoft.com/office/drawing/2010/main">
      <mc:Choice Requires="a14">
        <xdr:graphicFrame macro="">
          <xdr:nvGraphicFramePr>
            <xdr:cNvPr id="7" name="Order_Date">
              <a:extLst>
                <a:ext uri="{FF2B5EF4-FFF2-40B4-BE49-F238E27FC236}">
                  <a16:creationId xmlns:a16="http://schemas.microsoft.com/office/drawing/2014/main" id="{2A07BFE5-1E4F-41D1-9957-709AFEC10900}"/>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0582275" y="38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6</xdr:row>
      <xdr:rowOff>28575</xdr:rowOff>
    </xdr:from>
    <xdr:to>
      <xdr:col>3</xdr:col>
      <xdr:colOff>66675</xdr:colOff>
      <xdr:row>20</xdr:row>
      <xdr:rowOff>66675</xdr:rowOff>
    </xdr:to>
    <mc:AlternateContent xmlns:mc="http://schemas.openxmlformats.org/markup-compatibility/2006" xmlns:a14="http://schemas.microsoft.com/office/drawing/2010/main">
      <mc:Choice Requires="a14">
        <xdr:graphicFrame macro="">
          <xdr:nvGraphicFramePr>
            <xdr:cNvPr id="8" name="Unit_Price 1">
              <a:extLst>
                <a:ext uri="{FF2B5EF4-FFF2-40B4-BE49-F238E27FC236}">
                  <a16:creationId xmlns:a16="http://schemas.microsoft.com/office/drawing/2014/main" id="{8DFE6C50-16F2-48BE-A1F9-CB0A5CCC3B64}"/>
                </a:ext>
              </a:extLst>
            </xdr:cNvPr>
            <xdr:cNvGraphicFramePr/>
          </xdr:nvGraphicFramePr>
          <xdr:xfrm>
            <a:off x="0" y="0"/>
            <a:ext cx="0" cy="0"/>
          </xdr:xfrm>
          <a:graphic>
            <a:graphicData uri="http://schemas.microsoft.com/office/drawing/2010/slicer">
              <sle:slicer xmlns:sle="http://schemas.microsoft.com/office/drawing/2010/slicer" name="Unit_Price 1"/>
            </a:graphicData>
          </a:graphic>
        </xdr:graphicFrame>
      </mc:Choice>
      <mc:Fallback xmlns="">
        <xdr:sp macro="" textlink="">
          <xdr:nvSpPr>
            <xdr:cNvPr id="0" name=""/>
            <xdr:cNvSpPr>
              <a:spLocks noTextEdit="1"/>
            </xdr:cNvSpPr>
          </xdr:nvSpPr>
          <xdr:spPr>
            <a:xfrm>
              <a:off x="914400" y="1171575"/>
              <a:ext cx="18288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19049</xdr:rowOff>
    </xdr:from>
    <xdr:to>
      <xdr:col>9</xdr:col>
      <xdr:colOff>628649</xdr:colOff>
      <xdr:row>21</xdr:row>
      <xdr:rowOff>9524</xdr:rowOff>
    </xdr:to>
    <xdr:sp macro="" textlink="">
      <xdr:nvSpPr>
        <xdr:cNvPr id="14" name="Rectangle 13">
          <a:extLst>
            <a:ext uri="{FF2B5EF4-FFF2-40B4-BE49-F238E27FC236}">
              <a16:creationId xmlns:a16="http://schemas.microsoft.com/office/drawing/2014/main" id="{B2A26BDF-9939-4CD9-B494-00CA73B9CB7F}"/>
            </a:ext>
          </a:extLst>
        </xdr:cNvPr>
        <xdr:cNvSpPr/>
      </xdr:nvSpPr>
      <xdr:spPr>
        <a:xfrm>
          <a:off x="38100" y="19049"/>
          <a:ext cx="8220074" cy="5229225"/>
        </a:xfrm>
        <a:prstGeom prst="rect">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333374</xdr:colOff>
      <xdr:row>11</xdr:row>
      <xdr:rowOff>152402</xdr:rowOff>
    </xdr:from>
    <xdr:to>
      <xdr:col>7</xdr:col>
      <xdr:colOff>419099</xdr:colOff>
      <xdr:row>20</xdr:row>
      <xdr:rowOff>114300</xdr:rowOff>
    </xdr:to>
    <xdr:graphicFrame macro="">
      <xdr:nvGraphicFramePr>
        <xdr:cNvPr id="2" name="Chart 1">
          <a:extLst>
            <a:ext uri="{FF2B5EF4-FFF2-40B4-BE49-F238E27FC236}">
              <a16:creationId xmlns:a16="http://schemas.microsoft.com/office/drawing/2014/main" id="{EB4C9BCA-02F4-48BA-A299-6586A8D86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323850</xdr:colOff>
      <xdr:row>3</xdr:row>
      <xdr:rowOff>152400</xdr:rowOff>
    </xdr:from>
    <xdr:to>
      <xdr:col>7</xdr:col>
      <xdr:colOff>457200</xdr:colOff>
      <xdr:row>11</xdr:row>
      <xdr:rowOff>76200</xdr:rowOff>
    </xdr:to>
    <xdr:graphicFrame macro="">
      <xdr:nvGraphicFramePr>
        <xdr:cNvPr id="4" name="Chart 3">
          <a:extLst>
            <a:ext uri="{FF2B5EF4-FFF2-40B4-BE49-F238E27FC236}">
              <a16:creationId xmlns:a16="http://schemas.microsoft.com/office/drawing/2014/main" id="{D47832E6-9027-44AC-896F-AE068B0DA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333375</xdr:colOff>
      <xdr:row>1</xdr:row>
      <xdr:rowOff>19048</xdr:rowOff>
    </xdr:from>
    <xdr:to>
      <xdr:col>2</xdr:col>
      <xdr:colOff>381001</xdr:colOff>
      <xdr:row>3</xdr:row>
      <xdr:rowOff>66671</xdr:rowOff>
    </xdr:to>
    <xdr:sp macro="" textlink="">
      <xdr:nvSpPr>
        <xdr:cNvPr id="6" name="Rectangle: Rounded Corners 5">
          <a:extLst>
            <a:ext uri="{FF2B5EF4-FFF2-40B4-BE49-F238E27FC236}">
              <a16:creationId xmlns:a16="http://schemas.microsoft.com/office/drawing/2014/main" id="{3EF157EE-4AF9-4CB7-8428-7315701BB45F}"/>
            </a:ext>
          </a:extLst>
        </xdr:cNvPr>
        <xdr:cNvSpPr/>
      </xdr:nvSpPr>
      <xdr:spPr>
        <a:xfrm flipV="1">
          <a:off x="333375" y="266698"/>
          <a:ext cx="1743076" cy="58102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666751</xdr:colOff>
      <xdr:row>1</xdr:row>
      <xdr:rowOff>104775</xdr:rowOff>
    </xdr:from>
    <xdr:to>
      <xdr:col>2</xdr:col>
      <xdr:colOff>333375</xdr:colOff>
      <xdr:row>3</xdr:row>
      <xdr:rowOff>57150</xdr:rowOff>
    </xdr:to>
    <xdr:sp macro="" textlink="">
      <xdr:nvSpPr>
        <xdr:cNvPr id="8" name="TextBox 7">
          <a:extLst>
            <a:ext uri="{FF2B5EF4-FFF2-40B4-BE49-F238E27FC236}">
              <a16:creationId xmlns:a16="http://schemas.microsoft.com/office/drawing/2014/main" id="{937DFBFA-1BF6-41F5-9A9C-8316F0F10FDE}"/>
            </a:ext>
          </a:extLst>
        </xdr:cNvPr>
        <xdr:cNvSpPr txBox="1"/>
      </xdr:nvSpPr>
      <xdr:spPr>
        <a:xfrm>
          <a:off x="666751" y="352425"/>
          <a:ext cx="1362074" cy="4857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Revenew</a:t>
          </a:r>
        </a:p>
        <a:p>
          <a:r>
            <a:rPr lang="en-IN" sz="1100" b="0" i="0" u="none" strike="noStrike">
              <a:solidFill>
                <a:schemeClr val="dk1"/>
              </a:solidFill>
              <a:effectLst/>
              <a:latin typeface="+mn-lt"/>
              <a:ea typeface="+mn-ea"/>
              <a:cs typeface="+mn-cs"/>
            </a:rPr>
            <a:t>      711300</a:t>
          </a:r>
          <a:r>
            <a:rPr lang="en-IN"/>
            <a:t> </a:t>
          </a:r>
          <a:endParaRPr lang="en-IN" sz="1100"/>
        </a:p>
      </xdr:txBody>
    </xdr:sp>
    <xdr:clientData/>
  </xdr:twoCellAnchor>
  <xdr:twoCellAnchor>
    <xdr:from>
      <xdr:col>2</xdr:col>
      <xdr:colOff>571500</xdr:colOff>
      <xdr:row>1</xdr:row>
      <xdr:rowOff>38100</xdr:rowOff>
    </xdr:from>
    <xdr:to>
      <xdr:col>4</xdr:col>
      <xdr:colOff>733425</xdr:colOff>
      <xdr:row>3</xdr:row>
      <xdr:rowOff>66675</xdr:rowOff>
    </xdr:to>
    <xdr:sp macro="" textlink="">
      <xdr:nvSpPr>
        <xdr:cNvPr id="9" name="Rectangle: Rounded Corners 8">
          <a:extLst>
            <a:ext uri="{FF2B5EF4-FFF2-40B4-BE49-F238E27FC236}">
              <a16:creationId xmlns:a16="http://schemas.microsoft.com/office/drawing/2014/main" id="{8144E695-0E8D-4304-BBB1-A6671908CF6D}"/>
            </a:ext>
          </a:extLst>
        </xdr:cNvPr>
        <xdr:cNvSpPr/>
      </xdr:nvSpPr>
      <xdr:spPr>
        <a:xfrm>
          <a:off x="2266950" y="285750"/>
          <a:ext cx="1857375"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66675</xdr:colOff>
      <xdr:row>1</xdr:row>
      <xdr:rowOff>47625</xdr:rowOff>
    </xdr:from>
    <xdr:to>
      <xdr:col>7</xdr:col>
      <xdr:colOff>295275</xdr:colOff>
      <xdr:row>3</xdr:row>
      <xdr:rowOff>104775</xdr:rowOff>
    </xdr:to>
    <xdr:sp macro="" textlink="">
      <xdr:nvSpPr>
        <xdr:cNvPr id="10" name="Rectangle: Rounded Corners 9">
          <a:extLst>
            <a:ext uri="{FF2B5EF4-FFF2-40B4-BE49-F238E27FC236}">
              <a16:creationId xmlns:a16="http://schemas.microsoft.com/office/drawing/2014/main" id="{BB432EC3-6233-4C56-94A8-6AE2474580F4}"/>
            </a:ext>
          </a:extLst>
        </xdr:cNvPr>
        <xdr:cNvSpPr/>
      </xdr:nvSpPr>
      <xdr:spPr>
        <a:xfrm>
          <a:off x="4305300" y="295275"/>
          <a:ext cx="192405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390525</xdr:colOff>
      <xdr:row>1</xdr:row>
      <xdr:rowOff>47626</xdr:rowOff>
    </xdr:from>
    <xdr:to>
      <xdr:col>9</xdr:col>
      <xdr:colOff>552449</xdr:colOff>
      <xdr:row>3</xdr:row>
      <xdr:rowOff>104775</xdr:rowOff>
    </xdr:to>
    <xdr:sp macro="" textlink="">
      <xdr:nvSpPr>
        <xdr:cNvPr id="11" name="Rectangle: Rounded Corners 10">
          <a:extLst>
            <a:ext uri="{FF2B5EF4-FFF2-40B4-BE49-F238E27FC236}">
              <a16:creationId xmlns:a16="http://schemas.microsoft.com/office/drawing/2014/main" id="{FE96CD1B-1AB1-4C02-A85D-757F9E43AF3E}"/>
            </a:ext>
          </a:extLst>
        </xdr:cNvPr>
        <xdr:cNvSpPr/>
      </xdr:nvSpPr>
      <xdr:spPr>
        <a:xfrm>
          <a:off x="6324600" y="295276"/>
          <a:ext cx="1857374" cy="590549"/>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742950</xdr:colOff>
      <xdr:row>1</xdr:row>
      <xdr:rowOff>76201</xdr:rowOff>
    </xdr:from>
    <xdr:to>
      <xdr:col>4</xdr:col>
      <xdr:colOff>523876</xdr:colOff>
      <xdr:row>3</xdr:row>
      <xdr:rowOff>19051</xdr:rowOff>
    </xdr:to>
    <xdr:sp macro="" textlink="">
      <xdr:nvSpPr>
        <xdr:cNvPr id="13" name="TextBox 12">
          <a:extLst>
            <a:ext uri="{FF2B5EF4-FFF2-40B4-BE49-F238E27FC236}">
              <a16:creationId xmlns:a16="http://schemas.microsoft.com/office/drawing/2014/main" id="{BFEAF5A1-FD13-462B-9AA5-CD9D77B4B30F}"/>
            </a:ext>
          </a:extLst>
        </xdr:cNvPr>
        <xdr:cNvSpPr txBox="1"/>
      </xdr:nvSpPr>
      <xdr:spPr>
        <a:xfrm>
          <a:off x="2438400" y="323851"/>
          <a:ext cx="1476376" cy="4762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Total Orders</a:t>
          </a:r>
          <a:r>
            <a:rPr lang="en-IN"/>
            <a:t> </a:t>
          </a:r>
          <a:endParaRPr lang="en-IN" sz="1100" b="0" i="0" u="none" strike="noStrike">
            <a:solidFill>
              <a:schemeClr val="dk1"/>
            </a:solidFill>
            <a:effectLst/>
            <a:latin typeface="+mn-lt"/>
            <a:ea typeface="+mn-ea"/>
            <a:cs typeface="+mn-cs"/>
          </a:endParaRPr>
        </a:p>
        <a:p>
          <a:pPr algn="ctr"/>
          <a:r>
            <a:rPr lang="en-IN"/>
            <a:t>30</a:t>
          </a:r>
        </a:p>
      </xdr:txBody>
    </xdr:sp>
    <xdr:clientData/>
  </xdr:twoCellAnchor>
  <xdr:twoCellAnchor>
    <xdr:from>
      <xdr:col>5</xdr:col>
      <xdr:colOff>371475</xdr:colOff>
      <xdr:row>1</xdr:row>
      <xdr:rowOff>95250</xdr:rowOff>
    </xdr:from>
    <xdr:to>
      <xdr:col>6</xdr:col>
      <xdr:colOff>723900</xdr:colOff>
      <xdr:row>3</xdr:row>
      <xdr:rowOff>66675</xdr:rowOff>
    </xdr:to>
    <xdr:sp macro="" textlink="">
      <xdr:nvSpPr>
        <xdr:cNvPr id="15" name="TextBox 14">
          <a:extLst>
            <a:ext uri="{FF2B5EF4-FFF2-40B4-BE49-F238E27FC236}">
              <a16:creationId xmlns:a16="http://schemas.microsoft.com/office/drawing/2014/main" id="{372C0C93-2756-4E40-B473-5D967679C3FC}"/>
            </a:ext>
          </a:extLst>
        </xdr:cNvPr>
        <xdr:cNvSpPr txBox="1"/>
      </xdr:nvSpPr>
      <xdr:spPr>
        <a:xfrm>
          <a:off x="4610100" y="342900"/>
          <a:ext cx="1200150" cy="5048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Total Quantity sold</a:t>
          </a:r>
          <a:r>
            <a:rPr lang="en-IN"/>
            <a:t> </a:t>
          </a:r>
          <a:r>
            <a:rPr lang="en-IN" sz="1100" b="0" i="0" u="none" strike="noStrike">
              <a:solidFill>
                <a:schemeClr val="dk1"/>
              </a:solidFill>
              <a:effectLst/>
              <a:latin typeface="+mn-lt"/>
              <a:ea typeface="+mn-ea"/>
              <a:cs typeface="+mn-cs"/>
            </a:rPr>
            <a:t>48</a:t>
          </a:r>
          <a:r>
            <a:rPr lang="en-IN"/>
            <a:t> </a:t>
          </a:r>
          <a:endParaRPr lang="en-IN" sz="1100"/>
        </a:p>
      </xdr:txBody>
    </xdr:sp>
    <xdr:clientData/>
  </xdr:twoCellAnchor>
  <xdr:twoCellAnchor>
    <xdr:from>
      <xdr:col>7</xdr:col>
      <xdr:colOff>581025</xdr:colOff>
      <xdr:row>1</xdr:row>
      <xdr:rowOff>104774</xdr:rowOff>
    </xdr:from>
    <xdr:to>
      <xdr:col>9</xdr:col>
      <xdr:colOff>390525</xdr:colOff>
      <xdr:row>3</xdr:row>
      <xdr:rowOff>38100</xdr:rowOff>
    </xdr:to>
    <xdr:sp macro="" textlink="">
      <xdr:nvSpPr>
        <xdr:cNvPr id="16" name="TextBox 15">
          <a:extLst>
            <a:ext uri="{FF2B5EF4-FFF2-40B4-BE49-F238E27FC236}">
              <a16:creationId xmlns:a16="http://schemas.microsoft.com/office/drawing/2014/main" id="{2D6884AA-B278-437C-AD56-6A6B380BAB91}"/>
            </a:ext>
          </a:extLst>
        </xdr:cNvPr>
        <xdr:cNvSpPr txBox="1"/>
      </xdr:nvSpPr>
      <xdr:spPr>
        <a:xfrm>
          <a:off x="6515100" y="352424"/>
          <a:ext cx="1504950" cy="46672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Average order value</a:t>
          </a:r>
          <a:r>
            <a:rPr lang="en-IN"/>
            <a:t> </a:t>
          </a:r>
          <a:r>
            <a:rPr lang="en-IN" sz="1100" b="0" i="0" u="none" strike="noStrike">
              <a:solidFill>
                <a:schemeClr val="dk1"/>
              </a:solidFill>
              <a:effectLst/>
              <a:latin typeface="+mn-lt"/>
              <a:ea typeface="+mn-ea"/>
              <a:cs typeface="+mn-cs"/>
            </a:rPr>
            <a:t>23710</a:t>
          </a:r>
          <a:r>
            <a:rPr lang="en-IN"/>
            <a:t> </a:t>
          </a:r>
          <a:endParaRPr lang="en-IN" sz="1100"/>
        </a:p>
      </xdr:txBody>
    </xdr:sp>
    <xdr:clientData/>
  </xdr:twoCellAnchor>
  <xdr:twoCellAnchor>
    <xdr:from>
      <xdr:col>0</xdr:col>
      <xdr:colOff>0</xdr:colOff>
      <xdr:row>0</xdr:row>
      <xdr:rowOff>9525</xdr:rowOff>
    </xdr:from>
    <xdr:to>
      <xdr:col>9</xdr:col>
      <xdr:colOff>581024</xdr:colOff>
      <xdr:row>1</xdr:row>
      <xdr:rowOff>0</xdr:rowOff>
    </xdr:to>
    <xdr:sp macro="" textlink="">
      <xdr:nvSpPr>
        <xdr:cNvPr id="7" name="Rectangle: Rounded Corners 6">
          <a:extLst>
            <a:ext uri="{FF2B5EF4-FFF2-40B4-BE49-F238E27FC236}">
              <a16:creationId xmlns:a16="http://schemas.microsoft.com/office/drawing/2014/main" id="{073003CD-9567-4248-AA33-061DE181A0AA}"/>
            </a:ext>
          </a:extLst>
        </xdr:cNvPr>
        <xdr:cNvSpPr/>
      </xdr:nvSpPr>
      <xdr:spPr>
        <a:xfrm>
          <a:off x="0" y="9525"/>
          <a:ext cx="8210549" cy="238125"/>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0</xdr:col>
      <xdr:colOff>285749</xdr:colOff>
      <xdr:row>3</xdr:row>
      <xdr:rowOff>161925</xdr:rowOff>
    </xdr:from>
    <xdr:to>
      <xdr:col>3</xdr:col>
      <xdr:colOff>142875</xdr:colOff>
      <xdr:row>11</xdr:row>
      <xdr:rowOff>57150</xdr:rowOff>
    </xdr:to>
    <xdr:graphicFrame macro="">
      <xdr:nvGraphicFramePr>
        <xdr:cNvPr id="20" name="Chart 19">
          <a:extLst>
            <a:ext uri="{FF2B5EF4-FFF2-40B4-BE49-F238E27FC236}">
              <a16:creationId xmlns:a16="http://schemas.microsoft.com/office/drawing/2014/main" id="{86A80A53-4498-485D-9ABF-5CE451300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xdr:colOff>
      <xdr:row>0</xdr:row>
      <xdr:rowOff>19050</xdr:rowOff>
    </xdr:from>
    <xdr:to>
      <xdr:col>5</xdr:col>
      <xdr:colOff>628650</xdr:colOff>
      <xdr:row>0</xdr:row>
      <xdr:rowOff>200025</xdr:rowOff>
    </xdr:to>
    <xdr:sp macro="" textlink="">
      <xdr:nvSpPr>
        <xdr:cNvPr id="21" name="TextBox 20">
          <a:extLst>
            <a:ext uri="{FF2B5EF4-FFF2-40B4-BE49-F238E27FC236}">
              <a16:creationId xmlns:a16="http://schemas.microsoft.com/office/drawing/2014/main" id="{BED1D741-3FA4-42D4-91A0-A17BB572E8CD}"/>
            </a:ext>
          </a:extLst>
        </xdr:cNvPr>
        <xdr:cNvSpPr txBox="1"/>
      </xdr:nvSpPr>
      <xdr:spPr>
        <a:xfrm>
          <a:off x="2571750" y="19050"/>
          <a:ext cx="2295525" cy="18097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SALES DASHBOARD</a:t>
          </a:r>
        </a:p>
      </xdr:txBody>
    </xdr:sp>
    <xdr:clientData/>
  </xdr:twoCellAnchor>
  <xdr:twoCellAnchor editAs="oneCell">
    <xdr:from>
      <xdr:col>7</xdr:col>
      <xdr:colOff>695325</xdr:colOff>
      <xdr:row>8</xdr:row>
      <xdr:rowOff>228600</xdr:rowOff>
    </xdr:from>
    <xdr:to>
      <xdr:col>9</xdr:col>
      <xdr:colOff>428625</xdr:colOff>
      <xdr:row>20</xdr:row>
      <xdr:rowOff>123826</xdr:rowOff>
    </xdr:to>
    <mc:AlternateContent xmlns:mc="http://schemas.openxmlformats.org/markup-compatibility/2006" xmlns:a14="http://schemas.microsoft.com/office/drawing/2010/main">
      <mc:Choice Requires="a14">
        <xdr:graphicFrame macro="">
          <xdr:nvGraphicFramePr>
            <xdr:cNvPr id="19" name="Order_Date 1">
              <a:extLst>
                <a:ext uri="{FF2B5EF4-FFF2-40B4-BE49-F238E27FC236}">
                  <a16:creationId xmlns:a16="http://schemas.microsoft.com/office/drawing/2014/main" id="{990CC72A-D4A7-4317-B5FF-D33E0CAAE745}"/>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6629400" y="2247900"/>
              <a:ext cx="1428750" cy="2867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685799</xdr:colOff>
      <xdr:row>3</xdr:row>
      <xdr:rowOff>161924</xdr:rowOff>
    </xdr:from>
    <xdr:to>
      <xdr:col>9</xdr:col>
      <xdr:colOff>438150</xdr:colOff>
      <xdr:row>8</xdr:row>
      <xdr:rowOff>95249</xdr:rowOff>
    </xdr:to>
    <mc:AlternateContent xmlns:mc="http://schemas.openxmlformats.org/markup-compatibility/2006" xmlns:a14="http://schemas.microsoft.com/office/drawing/2010/main">
      <mc:Choice Requires="a14">
        <xdr:graphicFrame macro="">
          <xdr:nvGraphicFramePr>
            <xdr:cNvPr id="24" name="Quantity 1">
              <a:extLst>
                <a:ext uri="{FF2B5EF4-FFF2-40B4-BE49-F238E27FC236}">
                  <a16:creationId xmlns:a16="http://schemas.microsoft.com/office/drawing/2014/main" id="{F7DF3768-4D05-43D7-A006-BE6962BE4DEA}"/>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6619874" y="942974"/>
              <a:ext cx="1447801"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266699</xdr:colOff>
      <xdr:row>11</xdr:row>
      <xdr:rowOff>123825</xdr:rowOff>
    </xdr:from>
    <xdr:to>
      <xdr:col>3</xdr:col>
      <xdr:colOff>133349</xdr:colOff>
      <xdr:row>20</xdr:row>
      <xdr:rowOff>142875</xdr:rowOff>
    </xdr:to>
    <xdr:pic>
      <xdr:nvPicPr>
        <xdr:cNvPr id="22" name="Picture 21">
          <a:extLst>
            <a:ext uri="{FF2B5EF4-FFF2-40B4-BE49-F238E27FC236}">
              <a16:creationId xmlns:a16="http://schemas.microsoft.com/office/drawing/2014/main" id="{A2059762-B736-49B9-83AF-6874BF9987D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6699" y="2886075"/>
          <a:ext cx="2409825" cy="2247900"/>
        </a:xfrm>
        <a:prstGeom prst="rect">
          <a:avLst/>
        </a:prstGeom>
        <a:solidFill>
          <a:schemeClr val="accent4">
            <a:lumMod val="40000"/>
            <a:lumOff val="60000"/>
          </a:schemeClr>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3.738176736108" createdVersion="6" refreshedVersion="6" minRefreshableVersion="3" recordCount="30" xr:uid="{172A72F3-EFCF-40B5-BE99-3CCFA7687246}">
  <cacheSource type="worksheet">
    <worksheetSource ref="A1:H31" sheet="Cleaned_Sales_Data.xlsx"/>
  </cacheSource>
  <cacheFields count="8">
    <cacheField name="Order_ID" numFmtId="0">
      <sharedItems/>
    </cacheField>
    <cacheField name="Order_Date" numFmtId="1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Customer_Name" numFmtId="0">
      <sharedItems count="30">
        <s v="Aarav"/>
        <s v="Ananya"/>
        <s v="Rohit"/>
        <s v="Priya"/>
        <s v="Karthik"/>
        <s v="Sneha"/>
        <s v="Vikram"/>
        <s v="Pooja"/>
        <s v="Rahul"/>
        <s v="Neha"/>
        <s v="Suresh"/>
        <s v="Divya"/>
        <s v="Arjun"/>
        <s v="Kavya"/>
        <s v="Manoj"/>
        <s v="Ritu"/>
        <s v="Amit"/>
        <s v="Shalini"/>
        <s v="Naveen"/>
        <s v="Swathi"/>
        <s v="Deepak"/>
        <s v="Meera"/>
        <s v="Sanjay"/>
        <s v="Isha"/>
        <s v="Prakash"/>
        <s v="Anita"/>
        <s v="Vivek"/>
        <s v="Lakshmi"/>
        <s v="Ramesh"/>
        <s v="Nidhi"/>
      </sharedItems>
    </cacheField>
    <cacheField name="Product" numFmtId="0">
      <sharedItems count="10">
        <s v="Laptop"/>
        <s v="Mobile"/>
        <s v="Tablet"/>
        <s v="Headphones"/>
        <s v="Monitor"/>
        <s v="Keyboard"/>
        <s v="Mouse"/>
        <s v="Printer"/>
        <s v="Camera"/>
        <s v="Smartwatch"/>
      </sharedItems>
    </cacheField>
    <cacheField name="Category" numFmtId="0">
      <sharedItems count="2">
        <s v="Electronics"/>
        <s v="Accessories"/>
      </sharedItems>
    </cacheField>
    <cacheField name="Quantity" numFmtId="0">
      <sharedItems containsSemiMixedTypes="0" containsString="0" containsNumber="1" containsInteger="1" minValue="1" maxValue="3" count="3">
        <n v="1"/>
        <n v="2"/>
        <n v="3"/>
      </sharedItems>
    </cacheField>
    <cacheField name="Unit_Price" numFmtId="2">
      <sharedItems containsSemiMixedTypes="0" containsString="0" containsNumber="1" containsInteger="1" minValue="800" maxValue="55000" count="10">
        <n v="55000"/>
        <n v="20000"/>
        <n v="30000"/>
        <n v="2000"/>
        <n v="15000"/>
        <n v="1500"/>
        <n v="800"/>
        <n v="12000"/>
        <n v="25000"/>
        <n v="18000"/>
      </sharedItems>
    </cacheField>
    <cacheField name="Total_Sales" numFmtId="2">
      <sharedItems containsSemiMixedTypes="0" containsString="0" containsNumber="1" containsInteger="1" minValue="1500" maxValue="55000" count="9">
        <n v="55000"/>
        <n v="40000"/>
        <n v="30000"/>
        <n v="6000"/>
        <n v="1500"/>
        <n v="1600"/>
        <n v="12000"/>
        <n v="25000"/>
        <n v="36000"/>
      </sharedItems>
    </cacheField>
  </cacheFields>
  <extLst>
    <ext xmlns:x14="http://schemas.microsoft.com/office/spreadsheetml/2009/9/main" uri="{725AE2AE-9491-48be-B2B4-4EB974FC3084}">
      <x14:pivotCacheDefinition pivotCacheId="7455797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5.839808912038" createdVersion="6" refreshedVersion="6" minRefreshableVersion="3" recordCount="30" xr:uid="{7285EB8C-7B7E-40B3-89B0-092EA8F91C45}">
  <cacheSource type="worksheet">
    <worksheetSource name="sales_table"/>
  </cacheSource>
  <cacheFields count="8">
    <cacheField name="Order_ID" numFmtId="0">
      <sharedItems/>
    </cacheField>
    <cacheField name="Order_Date" numFmtId="1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Customer_Name" numFmtId="0">
      <sharedItems/>
    </cacheField>
    <cacheField name="Product" numFmtId="0">
      <sharedItems count="10">
        <s v="Laptop"/>
        <s v="Mobile"/>
        <s v="Tablet"/>
        <s v="Headphones"/>
        <s v="Monitor"/>
        <s v="Keyboard"/>
        <s v="Mouse"/>
        <s v="Printer"/>
        <s v="Camera"/>
        <s v="Smartwatch"/>
      </sharedItems>
    </cacheField>
    <cacheField name="Category" numFmtId="0">
      <sharedItems/>
    </cacheField>
    <cacheField name="Quantity" numFmtId="0">
      <sharedItems containsSemiMixedTypes="0" containsString="0" containsNumber="1" containsInteger="1" minValue="1" maxValue="3"/>
    </cacheField>
    <cacheField name="Unit_Price" numFmtId="2">
      <sharedItems containsSemiMixedTypes="0" containsString="0" containsNumber="1" containsInteger="1" minValue="800" maxValue="55000" count="10">
        <n v="55000"/>
        <n v="20000"/>
        <n v="30000"/>
        <n v="2000"/>
        <n v="15000"/>
        <n v="1500"/>
        <n v="800"/>
        <n v="12000"/>
        <n v="25000"/>
        <n v="18000"/>
      </sharedItems>
    </cacheField>
    <cacheField name="Total_Sales" numFmtId="2">
      <sharedItems containsSemiMixedTypes="0" containsString="0" containsNumber="1" containsInteger="1" minValue="1500" maxValue="55000"/>
    </cacheField>
  </cacheFields>
  <extLst>
    <ext xmlns:x14="http://schemas.microsoft.com/office/spreadsheetml/2009/9/main" uri="{725AE2AE-9491-48be-B2B4-4EB974FC3084}">
      <x14:pivotCacheDefinition pivotCacheId="906672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RD1001"/>
    <x v="0"/>
    <x v="0"/>
    <x v="0"/>
    <x v="0"/>
    <x v="0"/>
    <x v="0"/>
    <x v="0"/>
  </r>
  <r>
    <s v="ORD1002"/>
    <x v="1"/>
    <x v="1"/>
    <x v="1"/>
    <x v="0"/>
    <x v="1"/>
    <x v="1"/>
    <x v="1"/>
  </r>
  <r>
    <s v="ORD1003"/>
    <x v="2"/>
    <x v="2"/>
    <x v="2"/>
    <x v="0"/>
    <x v="0"/>
    <x v="2"/>
    <x v="2"/>
  </r>
  <r>
    <s v="ORD1004"/>
    <x v="3"/>
    <x v="3"/>
    <x v="3"/>
    <x v="1"/>
    <x v="2"/>
    <x v="3"/>
    <x v="3"/>
  </r>
  <r>
    <s v="ORD1005"/>
    <x v="4"/>
    <x v="4"/>
    <x v="4"/>
    <x v="0"/>
    <x v="1"/>
    <x v="4"/>
    <x v="2"/>
  </r>
  <r>
    <s v="ORD1006"/>
    <x v="5"/>
    <x v="5"/>
    <x v="5"/>
    <x v="1"/>
    <x v="0"/>
    <x v="5"/>
    <x v="4"/>
  </r>
  <r>
    <s v="ORD1007"/>
    <x v="6"/>
    <x v="6"/>
    <x v="6"/>
    <x v="1"/>
    <x v="1"/>
    <x v="6"/>
    <x v="5"/>
  </r>
  <r>
    <s v="ORD1008"/>
    <x v="7"/>
    <x v="7"/>
    <x v="7"/>
    <x v="0"/>
    <x v="0"/>
    <x v="7"/>
    <x v="6"/>
  </r>
  <r>
    <s v="ORD1009"/>
    <x v="8"/>
    <x v="8"/>
    <x v="8"/>
    <x v="0"/>
    <x v="0"/>
    <x v="8"/>
    <x v="7"/>
  </r>
  <r>
    <s v="ORD1010"/>
    <x v="9"/>
    <x v="9"/>
    <x v="9"/>
    <x v="0"/>
    <x v="1"/>
    <x v="9"/>
    <x v="8"/>
  </r>
  <r>
    <s v="ORD1011"/>
    <x v="10"/>
    <x v="10"/>
    <x v="0"/>
    <x v="0"/>
    <x v="0"/>
    <x v="0"/>
    <x v="0"/>
  </r>
  <r>
    <s v="ORD1012"/>
    <x v="11"/>
    <x v="11"/>
    <x v="1"/>
    <x v="0"/>
    <x v="1"/>
    <x v="1"/>
    <x v="1"/>
  </r>
  <r>
    <s v="ORD1013"/>
    <x v="12"/>
    <x v="12"/>
    <x v="2"/>
    <x v="0"/>
    <x v="0"/>
    <x v="2"/>
    <x v="2"/>
  </r>
  <r>
    <s v="ORD1014"/>
    <x v="13"/>
    <x v="13"/>
    <x v="3"/>
    <x v="1"/>
    <x v="2"/>
    <x v="3"/>
    <x v="3"/>
  </r>
  <r>
    <s v="ORD1015"/>
    <x v="14"/>
    <x v="14"/>
    <x v="4"/>
    <x v="0"/>
    <x v="1"/>
    <x v="4"/>
    <x v="2"/>
  </r>
  <r>
    <s v="ORD1016"/>
    <x v="15"/>
    <x v="15"/>
    <x v="5"/>
    <x v="1"/>
    <x v="0"/>
    <x v="5"/>
    <x v="4"/>
  </r>
  <r>
    <s v="ORD1017"/>
    <x v="16"/>
    <x v="16"/>
    <x v="6"/>
    <x v="1"/>
    <x v="1"/>
    <x v="6"/>
    <x v="5"/>
  </r>
  <r>
    <s v="ORD1018"/>
    <x v="17"/>
    <x v="17"/>
    <x v="7"/>
    <x v="0"/>
    <x v="0"/>
    <x v="7"/>
    <x v="6"/>
  </r>
  <r>
    <s v="ORD1019"/>
    <x v="18"/>
    <x v="18"/>
    <x v="8"/>
    <x v="0"/>
    <x v="0"/>
    <x v="8"/>
    <x v="7"/>
  </r>
  <r>
    <s v="ORD1020"/>
    <x v="19"/>
    <x v="19"/>
    <x v="9"/>
    <x v="0"/>
    <x v="1"/>
    <x v="9"/>
    <x v="8"/>
  </r>
  <r>
    <s v="ORD1021"/>
    <x v="20"/>
    <x v="20"/>
    <x v="0"/>
    <x v="0"/>
    <x v="0"/>
    <x v="0"/>
    <x v="0"/>
  </r>
  <r>
    <s v="ORD1022"/>
    <x v="21"/>
    <x v="21"/>
    <x v="1"/>
    <x v="0"/>
    <x v="1"/>
    <x v="1"/>
    <x v="1"/>
  </r>
  <r>
    <s v="ORD1023"/>
    <x v="22"/>
    <x v="22"/>
    <x v="2"/>
    <x v="0"/>
    <x v="0"/>
    <x v="2"/>
    <x v="2"/>
  </r>
  <r>
    <s v="ORD1024"/>
    <x v="23"/>
    <x v="23"/>
    <x v="3"/>
    <x v="1"/>
    <x v="2"/>
    <x v="3"/>
    <x v="3"/>
  </r>
  <r>
    <s v="ORD1025"/>
    <x v="24"/>
    <x v="24"/>
    <x v="4"/>
    <x v="0"/>
    <x v="1"/>
    <x v="4"/>
    <x v="2"/>
  </r>
  <r>
    <s v="ORD1026"/>
    <x v="25"/>
    <x v="25"/>
    <x v="5"/>
    <x v="1"/>
    <x v="0"/>
    <x v="5"/>
    <x v="4"/>
  </r>
  <r>
    <s v="ORD1027"/>
    <x v="26"/>
    <x v="26"/>
    <x v="6"/>
    <x v="1"/>
    <x v="1"/>
    <x v="6"/>
    <x v="5"/>
  </r>
  <r>
    <s v="ORD1028"/>
    <x v="27"/>
    <x v="27"/>
    <x v="7"/>
    <x v="0"/>
    <x v="0"/>
    <x v="7"/>
    <x v="6"/>
  </r>
  <r>
    <s v="ORD1029"/>
    <x v="28"/>
    <x v="28"/>
    <x v="8"/>
    <x v="0"/>
    <x v="0"/>
    <x v="8"/>
    <x v="7"/>
  </r>
  <r>
    <s v="ORD1030"/>
    <x v="29"/>
    <x v="29"/>
    <x v="9"/>
    <x v="0"/>
    <x v="1"/>
    <x v="9"/>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RD1001"/>
    <x v="0"/>
    <s v="Aarav"/>
    <x v="0"/>
    <s v="Electronics"/>
    <n v="1"/>
    <x v="0"/>
    <n v="55000"/>
  </r>
  <r>
    <s v="ORD1002"/>
    <x v="1"/>
    <s v="Ananya"/>
    <x v="1"/>
    <s v="Electronics"/>
    <n v="2"/>
    <x v="1"/>
    <n v="40000"/>
  </r>
  <r>
    <s v="ORD1003"/>
    <x v="2"/>
    <s v="Rohit"/>
    <x v="2"/>
    <s v="Electronics"/>
    <n v="1"/>
    <x v="2"/>
    <n v="30000"/>
  </r>
  <r>
    <s v="ORD1004"/>
    <x v="3"/>
    <s v="Priya"/>
    <x v="3"/>
    <s v="Accessories"/>
    <n v="3"/>
    <x v="3"/>
    <n v="6000"/>
  </r>
  <r>
    <s v="ORD1005"/>
    <x v="4"/>
    <s v="Karthik"/>
    <x v="4"/>
    <s v="Electronics"/>
    <n v="2"/>
    <x v="4"/>
    <n v="30000"/>
  </r>
  <r>
    <s v="ORD1006"/>
    <x v="5"/>
    <s v="Sneha"/>
    <x v="5"/>
    <s v="Accessories"/>
    <n v="1"/>
    <x v="5"/>
    <n v="1500"/>
  </r>
  <r>
    <s v="ORD1007"/>
    <x v="6"/>
    <s v="Vikram"/>
    <x v="6"/>
    <s v="Accessories"/>
    <n v="2"/>
    <x v="6"/>
    <n v="1600"/>
  </r>
  <r>
    <s v="ORD1008"/>
    <x v="7"/>
    <s v="Pooja"/>
    <x v="7"/>
    <s v="Electronics"/>
    <n v="1"/>
    <x v="7"/>
    <n v="12000"/>
  </r>
  <r>
    <s v="ORD1009"/>
    <x v="8"/>
    <s v="Rahul"/>
    <x v="8"/>
    <s v="Electronics"/>
    <n v="1"/>
    <x v="8"/>
    <n v="25000"/>
  </r>
  <r>
    <s v="ORD1010"/>
    <x v="9"/>
    <s v="Neha"/>
    <x v="9"/>
    <s v="Electronics"/>
    <n v="2"/>
    <x v="9"/>
    <n v="36000"/>
  </r>
  <r>
    <s v="ORD1011"/>
    <x v="10"/>
    <s v="Suresh"/>
    <x v="0"/>
    <s v="Electronics"/>
    <n v="1"/>
    <x v="0"/>
    <n v="55000"/>
  </r>
  <r>
    <s v="ORD1012"/>
    <x v="11"/>
    <s v="Divya"/>
    <x v="1"/>
    <s v="Electronics"/>
    <n v="2"/>
    <x v="1"/>
    <n v="40000"/>
  </r>
  <r>
    <s v="ORD1013"/>
    <x v="12"/>
    <s v="Arjun"/>
    <x v="2"/>
    <s v="Electronics"/>
    <n v="1"/>
    <x v="2"/>
    <n v="30000"/>
  </r>
  <r>
    <s v="ORD1014"/>
    <x v="13"/>
    <s v="Kavya"/>
    <x v="3"/>
    <s v="Accessories"/>
    <n v="3"/>
    <x v="3"/>
    <n v="6000"/>
  </r>
  <r>
    <s v="ORD1015"/>
    <x v="14"/>
    <s v="Manoj"/>
    <x v="4"/>
    <s v="Electronics"/>
    <n v="2"/>
    <x v="4"/>
    <n v="30000"/>
  </r>
  <r>
    <s v="ORD1016"/>
    <x v="15"/>
    <s v="Ritu"/>
    <x v="5"/>
    <s v="Accessories"/>
    <n v="1"/>
    <x v="5"/>
    <n v="1500"/>
  </r>
  <r>
    <s v="ORD1017"/>
    <x v="16"/>
    <s v="Amit"/>
    <x v="6"/>
    <s v="Accessories"/>
    <n v="2"/>
    <x v="6"/>
    <n v="1600"/>
  </r>
  <r>
    <s v="ORD1018"/>
    <x v="17"/>
    <s v="Shalini"/>
    <x v="7"/>
    <s v="Electronics"/>
    <n v="1"/>
    <x v="7"/>
    <n v="12000"/>
  </r>
  <r>
    <s v="ORD1019"/>
    <x v="18"/>
    <s v="Naveen"/>
    <x v="8"/>
    <s v="Electronics"/>
    <n v="1"/>
    <x v="8"/>
    <n v="25000"/>
  </r>
  <r>
    <s v="ORD1020"/>
    <x v="19"/>
    <s v="Swathi"/>
    <x v="9"/>
    <s v="Electronics"/>
    <n v="2"/>
    <x v="9"/>
    <n v="36000"/>
  </r>
  <r>
    <s v="ORD1021"/>
    <x v="20"/>
    <s v="Deepak"/>
    <x v="0"/>
    <s v="Electronics"/>
    <n v="1"/>
    <x v="0"/>
    <n v="55000"/>
  </r>
  <r>
    <s v="ORD1022"/>
    <x v="21"/>
    <s v="Meera"/>
    <x v="1"/>
    <s v="Electronics"/>
    <n v="2"/>
    <x v="1"/>
    <n v="40000"/>
  </r>
  <r>
    <s v="ORD1023"/>
    <x v="22"/>
    <s v="Sanjay"/>
    <x v="2"/>
    <s v="Electronics"/>
    <n v="1"/>
    <x v="2"/>
    <n v="30000"/>
  </r>
  <r>
    <s v="ORD1024"/>
    <x v="23"/>
    <s v="Isha"/>
    <x v="3"/>
    <s v="Accessories"/>
    <n v="3"/>
    <x v="3"/>
    <n v="6000"/>
  </r>
  <r>
    <s v="ORD1025"/>
    <x v="24"/>
    <s v="Prakash"/>
    <x v="4"/>
    <s v="Electronics"/>
    <n v="2"/>
    <x v="4"/>
    <n v="30000"/>
  </r>
  <r>
    <s v="ORD1026"/>
    <x v="25"/>
    <s v="Anita"/>
    <x v="5"/>
    <s v="Accessories"/>
    <n v="1"/>
    <x v="5"/>
    <n v="1500"/>
  </r>
  <r>
    <s v="ORD1027"/>
    <x v="26"/>
    <s v="Vivek"/>
    <x v="6"/>
    <s v="Accessories"/>
    <n v="2"/>
    <x v="6"/>
    <n v="1600"/>
  </r>
  <r>
    <s v="ORD1028"/>
    <x v="27"/>
    <s v="Lakshmi"/>
    <x v="7"/>
    <s v="Electronics"/>
    <n v="1"/>
    <x v="7"/>
    <n v="12000"/>
  </r>
  <r>
    <s v="ORD1029"/>
    <x v="28"/>
    <s v="Ramesh"/>
    <x v="8"/>
    <s v="Electronics"/>
    <n v="1"/>
    <x v="8"/>
    <n v="25000"/>
  </r>
  <r>
    <s v="ORD1030"/>
    <x v="29"/>
    <s v="Nidhi"/>
    <x v="9"/>
    <s v="Electronics"/>
    <n v="2"/>
    <x v="9"/>
    <n v="3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7E523-53A3-4001-9CAF-F2F20494F61C}"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1:K12" firstHeaderRow="1" firstDataRow="1" firstDataCol="1"/>
  <pivotFields count="8">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11">
        <item x="8"/>
        <item x="3"/>
        <item x="5"/>
        <item x="0"/>
        <item x="1"/>
        <item x="4"/>
        <item x="6"/>
        <item x="7"/>
        <item x="9"/>
        <item x="2"/>
        <item t="default"/>
      </items>
    </pivotField>
    <pivotField showAll="0"/>
    <pivotField showAll="0"/>
    <pivotField numFmtId="2" showAll="0"/>
    <pivotField dataField="1" numFmtId="2" showAll="0"/>
  </pivotFields>
  <rowFields count="1">
    <field x="3"/>
  </rowFields>
  <rowItems count="11">
    <i>
      <x/>
    </i>
    <i>
      <x v="1"/>
    </i>
    <i>
      <x v="2"/>
    </i>
    <i>
      <x v="3"/>
    </i>
    <i>
      <x v="4"/>
    </i>
    <i>
      <x v="5"/>
    </i>
    <i>
      <x v="6"/>
    </i>
    <i>
      <x v="7"/>
    </i>
    <i>
      <x v="8"/>
    </i>
    <i>
      <x v="9"/>
    </i>
    <i t="grand">
      <x/>
    </i>
  </rowItems>
  <colItems count="1">
    <i/>
  </colItems>
  <dataFields count="1">
    <dataField name="Sum of Total_Sales" fld="7" baseField="0" baseItem="0"/>
  </dataFields>
  <chartFormats count="1">
    <chartFormat chart="2" format="27"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4B671-D551-418B-B110-7E85458F7EBC}"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20" firstHeaderRow="1" firstDataRow="1" firstDataCol="1"/>
  <pivotFields count="8">
    <pivotField showAll="0"/>
    <pivotField numFmtId="14" showAll="0"/>
    <pivotField showAll="0"/>
    <pivotField axis="axisRow" showAll="0" sortType="ascending">
      <items count="11">
        <item x="8"/>
        <item x="3"/>
        <item x="5"/>
        <item x="0"/>
        <item x="1"/>
        <item x="4"/>
        <item x="6"/>
        <item x="7"/>
        <item x="9"/>
        <item x="2"/>
        <item t="default"/>
      </items>
    </pivotField>
    <pivotField showAll="0"/>
    <pivotField showAll="0"/>
    <pivotField numFmtId="2" showAll="0">
      <items count="11">
        <item x="6"/>
        <item x="5"/>
        <item x="3"/>
        <item x="7"/>
        <item x="4"/>
        <item x="9"/>
        <item x="1"/>
        <item x="8"/>
        <item x="2"/>
        <item x="0"/>
        <item t="default"/>
      </items>
    </pivotField>
    <pivotField numFmtId="2" showAll="0"/>
  </pivotFields>
  <rowFields count="1">
    <field x="3"/>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B6269F-5FD3-4E03-A90D-F6DFDF490EDF}" name="sum of sales by date" cacheId="0"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21">
  <location ref="G5:G26" firstHeaderRow="1" firstDataRow="1" firstDataCol="1"/>
  <pivotFields count="8">
    <pivotField showAll="0"/>
    <pivotField showAll="0"/>
    <pivotField showAll="0">
      <items count="31">
        <item x="0"/>
        <item x="16"/>
        <item x="1"/>
        <item x="25"/>
        <item x="12"/>
        <item x="20"/>
        <item x="11"/>
        <item x="23"/>
        <item x="4"/>
        <item x="13"/>
        <item x="27"/>
        <item x="14"/>
        <item x="21"/>
        <item x="18"/>
        <item x="9"/>
        <item x="29"/>
        <item x="7"/>
        <item x="24"/>
        <item x="3"/>
        <item x="8"/>
        <item x="28"/>
        <item x="15"/>
        <item x="2"/>
        <item x="22"/>
        <item x="17"/>
        <item x="5"/>
        <item x="10"/>
        <item x="19"/>
        <item x="6"/>
        <item x="26"/>
        <item t="default"/>
      </items>
    </pivotField>
    <pivotField axis="axisRow" showAll="0">
      <items count="11">
        <item x="8"/>
        <item x="3"/>
        <item x="5"/>
        <item x="0"/>
        <item x="1"/>
        <item x="4"/>
        <item x="6"/>
        <item x="7"/>
        <item x="9"/>
        <item x="2"/>
        <item t="default"/>
      </items>
    </pivotField>
    <pivotField axis="axisRow" showAll="0">
      <items count="3">
        <item x="1"/>
        <item x="0"/>
        <item t="default"/>
      </items>
    </pivotField>
    <pivotField showAll="0"/>
    <pivotField showAll="0">
      <items count="11">
        <item x="6"/>
        <item x="5"/>
        <item x="3"/>
        <item x="7"/>
        <item x="4"/>
        <item x="9"/>
        <item x="1"/>
        <item x="8"/>
        <item x="2"/>
        <item x="0"/>
        <item t="default"/>
      </items>
    </pivotField>
    <pivotField showAll="0">
      <items count="10">
        <item x="4"/>
        <item x="5"/>
        <item x="3"/>
        <item x="6"/>
        <item x="7"/>
        <item x="2"/>
        <item x="8"/>
        <item x="1"/>
        <item x="0"/>
        <item t="default"/>
      </items>
    </pivotField>
  </pivotFields>
  <rowFields count="2">
    <field x="3"/>
    <field x="4"/>
  </rowFields>
  <rowItems count="21">
    <i>
      <x/>
    </i>
    <i r="1">
      <x v="1"/>
    </i>
    <i>
      <x v="1"/>
    </i>
    <i r="1">
      <x/>
    </i>
    <i>
      <x v="2"/>
    </i>
    <i r="1">
      <x/>
    </i>
    <i>
      <x v="3"/>
    </i>
    <i r="1">
      <x v="1"/>
    </i>
    <i>
      <x v="4"/>
    </i>
    <i r="1">
      <x v="1"/>
    </i>
    <i>
      <x v="5"/>
    </i>
    <i r="1">
      <x v="1"/>
    </i>
    <i>
      <x v="6"/>
    </i>
    <i r="1">
      <x/>
    </i>
    <i>
      <x v="7"/>
    </i>
    <i r="1">
      <x v="1"/>
    </i>
    <i>
      <x v="8"/>
    </i>
    <i r="1">
      <x v="1"/>
    </i>
    <i>
      <x v="9"/>
    </i>
    <i r="1">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E8AF95-A901-4CE0-89A0-872FEB36870A}" name="sum of sales by category" cacheId="0"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18">
  <location ref="A3:B6" firstHeaderRow="1" firstDataRow="1" firstDataCol="1"/>
  <pivotFields count="8">
    <pivotField showAll="0"/>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1">
        <item x="0"/>
        <item x="16"/>
        <item x="1"/>
        <item x="25"/>
        <item x="12"/>
        <item x="20"/>
        <item x="11"/>
        <item x="23"/>
        <item x="4"/>
        <item x="13"/>
        <item x="27"/>
        <item x="14"/>
        <item x="21"/>
        <item x="18"/>
        <item x="9"/>
        <item x="29"/>
        <item x="7"/>
        <item x="24"/>
        <item x="3"/>
        <item x="8"/>
        <item x="28"/>
        <item x="15"/>
        <item x="2"/>
        <item x="22"/>
        <item x="17"/>
        <item x="5"/>
        <item x="10"/>
        <item x="19"/>
        <item x="6"/>
        <item x="26"/>
        <item t="default"/>
      </items>
    </pivotField>
    <pivotField showAll="0">
      <items count="11">
        <item h="1" x="8"/>
        <item h="1" x="3"/>
        <item x="5"/>
        <item h="1" x="0"/>
        <item h="1" x="1"/>
        <item h="1" x="4"/>
        <item h="1" x="6"/>
        <item h="1" x="7"/>
        <item h="1" x="9"/>
        <item h="1" x="2"/>
        <item t="default"/>
      </items>
    </pivotField>
    <pivotField axis="axisRow" showAll="0" sortType="ascending">
      <items count="3">
        <item x="1"/>
        <item x="0"/>
        <item t="default"/>
      </items>
    </pivotField>
    <pivotField showAll="0"/>
    <pivotField numFmtId="2" showAll="0"/>
    <pivotField dataField="1" numFmtId="2" showAll="0"/>
  </pivotFields>
  <rowFields count="1">
    <field x="4"/>
  </rowFields>
  <rowItems count="3">
    <i>
      <x/>
    </i>
    <i>
      <x v="1"/>
    </i>
    <i t="grand">
      <x/>
    </i>
  </rowItems>
  <colItems count="1">
    <i/>
  </colItems>
  <dataFields count="1">
    <dataField name="Sum of Total_Sales" fld="7" baseField="0" baseItem="0"/>
  </dataFields>
  <chartFormats count="12">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4" count="1" selected="0">
            <x v="0"/>
          </reference>
        </references>
      </pivotArea>
    </chartFormat>
    <chartFormat chart="11" format="6">
      <pivotArea type="data" outline="0" fieldPosition="0">
        <references count="2">
          <reference field="4294967294" count="1" selected="0">
            <x v="0"/>
          </reference>
          <reference field="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4" count="1" selected="0">
            <x v="0"/>
          </reference>
        </references>
      </pivotArea>
    </chartFormat>
    <chartFormat chart="17"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ADB4D1-561F-4516-BC9D-309EA96DA92C}" name="sum of sales by 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4:E15" firstHeaderRow="1" firstDataRow="1" firstDataCol="1"/>
  <pivotFields count="8">
    <pivotField showAll="0"/>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11">
        <item x="8"/>
        <item x="3"/>
        <item x="5"/>
        <item x="0"/>
        <item x="1"/>
        <item x="4"/>
        <item x="6"/>
        <item x="7"/>
        <item x="9"/>
        <item x="2"/>
        <item t="default"/>
      </items>
    </pivotField>
    <pivotField showAll="0"/>
    <pivotField showAll="0">
      <items count="4">
        <item x="0"/>
        <item x="1"/>
        <item x="2"/>
        <item t="default"/>
      </items>
    </pivotField>
    <pivotField numFmtId="2" showAll="0"/>
    <pivotField dataField="1" numFmtId="2" showAll="0"/>
  </pivotFields>
  <rowFields count="1">
    <field x="3"/>
  </rowFields>
  <rowItems count="11">
    <i>
      <x/>
    </i>
    <i>
      <x v="1"/>
    </i>
    <i>
      <x v="2"/>
    </i>
    <i>
      <x v="3"/>
    </i>
    <i>
      <x v="4"/>
    </i>
    <i>
      <x v="5"/>
    </i>
    <i>
      <x v="6"/>
    </i>
    <i>
      <x v="7"/>
    </i>
    <i>
      <x v="8"/>
    </i>
    <i>
      <x v="9"/>
    </i>
    <i t="grand">
      <x/>
    </i>
  </rowItems>
  <colItems count="1">
    <i/>
  </colItems>
  <dataFields count="1">
    <dataField name="Sum of Total_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095169AD-B388-40F9-935D-8329AB58FD13}" sourceName="Quantity">
  <pivotTables>
    <pivotTable tabId="4" name="sum of sales by product"/>
  </pivotTables>
  <data>
    <tabular pivotCacheId="74557970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D00B0AB-764C-4A8F-953A-3D779535BCFE}" sourceName="Order_Date">
  <pivotTables>
    <pivotTable tabId="4" name="PivotTable1"/>
  </pivotTables>
  <data>
    <tabular pivotCacheId="906672340">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94BCE47-0423-4C3F-AB1B-510EF8B1C88E}" sourceName="Category">
  <pivotTables>
    <pivotTable tabId="4" name="sum of sales by date"/>
  </pivotTables>
  <data>
    <tabular pivotCacheId="74557970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93208B18-6464-4178-8752-1A1C01A18BBF}" sourceName="Unit_Price">
  <pivotTables>
    <pivotTable tabId="4" name="PivotTable2"/>
  </pivotTables>
  <data>
    <tabular pivotCacheId="906672340">
      <items count="10">
        <i x="6" s="1"/>
        <i x="5" s="1"/>
        <i x="3" s="1"/>
        <i x="7" s="1"/>
        <i x="4" s="1"/>
        <i x="9" s="1"/>
        <i x="1" s="1"/>
        <i x="8"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07533D10-969F-4E87-8EFF-0833CF0303E7}" cache="Slicer_Quantity" caption="Quantity" rowHeight="241300"/>
  <slicer name="Order_Date" xr10:uid="{C4195F71-C200-4DBB-8B70-1FDFD154B156}" cache="Slicer_Order_Date" caption="Order_Date" startItem="22" rowHeight="241300"/>
  <slicer name="Category 2" xr10:uid="{1F0B5667-8651-468F-8AB7-B0DB61054E17}" cache="Slicer_Category1" caption="Category" rowHeight="241300"/>
  <slicer name="Unit_Price 1" xr10:uid="{C1A39195-F919-43EE-B0C0-B0DD461CC285}" cache="Slicer_Unit_Price" caption="Unit_Pri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1" xr10:uid="{A83C9F66-6210-4B89-BD4C-9B56EE71C548}" cache="Slicer_Quantity" caption="Quantity" rowHeight="241300"/>
  <slicer name="Order_Date 1" xr10:uid="{D587E839-F0B9-48EC-85CD-F34972F5F489}" cache="Slicer_Order_Date" caption="Order_Date" startItem="2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F7C38E-4104-42B2-BDDC-A935A8F72440}" name="sales_table" displayName="sales_table" ref="A1:H31" totalsRowShown="0" headerRowDxfId="11" dataDxfId="10" tableBorderDxfId="9">
  <autoFilter ref="A1:H31" xr:uid="{61D04119-FBD2-41C0-A3C0-85D81898E7C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0818B6F-9FBD-4ED6-9745-FD1CE0264D78}" name="Order_ID" dataDxfId="8"/>
    <tableColumn id="2" xr3:uid="{FF6930D5-679C-47A3-8A6D-73B7AFDAFD35}" name="Order_Date" dataDxfId="7"/>
    <tableColumn id="3" xr3:uid="{F5BE3DEC-5F82-4A55-903C-BF3E6738318C}" name="Customer_Name" dataDxfId="6"/>
    <tableColumn id="4" xr3:uid="{80AC72B6-9100-4E72-A285-E9333D5E19BD}" name="Product" dataDxfId="5"/>
    <tableColumn id="5" xr3:uid="{5F720603-A16F-4141-A3D9-1190FBF09F82}" name="Category" dataDxfId="4"/>
    <tableColumn id="6" xr3:uid="{584934F0-6545-4013-BB24-73E4E06CBF98}" name="Quantity" dataDxfId="3"/>
    <tableColumn id="7" xr3:uid="{4C5AD2AC-BA17-4AB7-9F76-291B865D42FE}" name="Unit_Price" dataDxfId="2"/>
    <tableColumn id="8" xr3:uid="{8261EDA8-C051-4B3A-8470-7419C445524A}" name="Total_Sales" dataDxfId="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6A6B50-FA1B-4BCE-8234-C660DEE003A4}" name="Table24" displayName="Table24" ref="H9:I19" totalsRowShown="0" headerRowDxfId="0">
  <autoFilter ref="H9:I19" xr:uid="{1E4C5A34-5531-497E-B1D2-403BE936EFB4}"/>
  <tableColumns count="2">
    <tableColumn id="1" xr3:uid="{E5D2A3FC-1D2E-4033-814F-FE37A701BE14}" name="Products"/>
    <tableColumn id="2" xr3:uid="{6B90965C-4226-446C-895F-7F8C7BC7EE1D}" name="Unit Pric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43A32-CD57-409F-9142-7454AEF21872}">
  <dimension ref="A1:A31"/>
  <sheetViews>
    <sheetView workbookViewId="0">
      <selection activeCell="L15" sqref="L15"/>
    </sheetView>
  </sheetViews>
  <sheetFormatPr defaultRowHeight="15" x14ac:dyDescent="0.25"/>
  <sheetData>
    <row r="1" spans="1:1" x14ac:dyDescent="0.25">
      <c r="A1" t="s">
        <v>89</v>
      </c>
    </row>
    <row r="2" spans="1:1" x14ac:dyDescent="0.25">
      <c r="A2" t="s">
        <v>90</v>
      </c>
    </row>
    <row r="3" spans="1:1" x14ac:dyDescent="0.25">
      <c r="A3" t="s">
        <v>91</v>
      </c>
    </row>
    <row r="4" spans="1:1" x14ac:dyDescent="0.25">
      <c r="A4" t="s">
        <v>92</v>
      </c>
    </row>
    <row r="5" spans="1:1" x14ac:dyDescent="0.25">
      <c r="A5" t="s">
        <v>93</v>
      </c>
    </row>
    <row r="6" spans="1:1" x14ac:dyDescent="0.25">
      <c r="A6" t="s">
        <v>94</v>
      </c>
    </row>
    <row r="7" spans="1:1" x14ac:dyDescent="0.25">
      <c r="A7" t="s">
        <v>95</v>
      </c>
    </row>
    <row r="8" spans="1:1" x14ac:dyDescent="0.25">
      <c r="A8" t="s">
        <v>96</v>
      </c>
    </row>
    <row r="9" spans="1:1" x14ac:dyDescent="0.25">
      <c r="A9" t="s">
        <v>97</v>
      </c>
    </row>
    <row r="10" spans="1:1" x14ac:dyDescent="0.25">
      <c r="A10" t="s">
        <v>98</v>
      </c>
    </row>
    <row r="11" spans="1:1" x14ac:dyDescent="0.25">
      <c r="A11" t="s">
        <v>99</v>
      </c>
    </row>
    <row r="12" spans="1:1" x14ac:dyDescent="0.25">
      <c r="A12" t="s">
        <v>100</v>
      </c>
    </row>
    <row r="13" spans="1:1" x14ac:dyDescent="0.25">
      <c r="A13" t="s">
        <v>101</v>
      </c>
    </row>
    <row r="14" spans="1:1" x14ac:dyDescent="0.25">
      <c r="A14" t="s">
        <v>102</v>
      </c>
    </row>
    <row r="15" spans="1:1" x14ac:dyDescent="0.25">
      <c r="A15" t="s">
        <v>103</v>
      </c>
    </row>
    <row r="16" spans="1:1" x14ac:dyDescent="0.25">
      <c r="A16" t="s">
        <v>104</v>
      </c>
    </row>
    <row r="17" spans="1:1" x14ac:dyDescent="0.25">
      <c r="A17" t="s">
        <v>105</v>
      </c>
    </row>
    <row r="18" spans="1:1" x14ac:dyDescent="0.25">
      <c r="A18" t="s">
        <v>106</v>
      </c>
    </row>
    <row r="19" spans="1:1" x14ac:dyDescent="0.25">
      <c r="A19" t="s">
        <v>107</v>
      </c>
    </row>
    <row r="20" spans="1:1" x14ac:dyDescent="0.25">
      <c r="A20" t="s">
        <v>108</v>
      </c>
    </row>
    <row r="21" spans="1:1" x14ac:dyDescent="0.25">
      <c r="A21" t="s">
        <v>109</v>
      </c>
    </row>
    <row r="22" spans="1:1" x14ac:dyDescent="0.25">
      <c r="A22" t="s">
        <v>110</v>
      </c>
    </row>
    <row r="23" spans="1:1" x14ac:dyDescent="0.25">
      <c r="A23" t="s">
        <v>111</v>
      </c>
    </row>
    <row r="24" spans="1:1" x14ac:dyDescent="0.25">
      <c r="A24" t="s">
        <v>112</v>
      </c>
    </row>
    <row r="25" spans="1:1" x14ac:dyDescent="0.25">
      <c r="A25" t="s">
        <v>113</v>
      </c>
    </row>
    <row r="26" spans="1:1" x14ac:dyDescent="0.25">
      <c r="A26" t="s">
        <v>114</v>
      </c>
    </row>
    <row r="27" spans="1:1" x14ac:dyDescent="0.25">
      <c r="A27" t="s">
        <v>115</v>
      </c>
    </row>
    <row r="28" spans="1:1" x14ac:dyDescent="0.25">
      <c r="A28" t="s">
        <v>116</v>
      </c>
    </row>
    <row r="29" spans="1:1" x14ac:dyDescent="0.25">
      <c r="A29" t="s">
        <v>117</v>
      </c>
    </row>
    <row r="30" spans="1:1" x14ac:dyDescent="0.25">
      <c r="A30" t="s">
        <v>118</v>
      </c>
    </row>
    <row r="31" spans="1:1" x14ac:dyDescent="0.25">
      <c r="A3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opLeftCell="A16" workbookViewId="0">
      <selection activeCell="G37" sqref="A1:XFD1048576"/>
    </sheetView>
  </sheetViews>
  <sheetFormatPr defaultRowHeight="15" x14ac:dyDescent="0.25"/>
  <cols>
    <col min="1" max="1" width="15.28515625" customWidth="1"/>
    <col min="2" max="2" width="31.140625" customWidth="1"/>
    <col min="3" max="3" width="24.7109375" customWidth="1"/>
    <col min="4" max="4" width="19.5703125" customWidth="1"/>
    <col min="5" max="5" width="22" customWidth="1"/>
    <col min="6" max="6" width="18.85546875" customWidth="1"/>
    <col min="7" max="7" width="22.7109375" customWidth="1"/>
    <col min="8" max="8" width="30.28515625" customWidth="1"/>
    <col min="9" max="9" width="16" customWidth="1"/>
  </cols>
  <sheetData>
    <row r="1" spans="1:8" x14ac:dyDescent="0.25">
      <c r="A1" s="17" t="s">
        <v>0</v>
      </c>
      <c r="B1" s="17" t="s">
        <v>1</v>
      </c>
      <c r="C1" s="17" t="s">
        <v>2</v>
      </c>
      <c r="D1" s="17" t="s">
        <v>3</v>
      </c>
      <c r="E1" s="17" t="s">
        <v>4</v>
      </c>
      <c r="F1" s="18" t="s">
        <v>5</v>
      </c>
      <c r="G1" s="18" t="s">
        <v>6</v>
      </c>
      <c r="H1" s="19" t="s">
        <v>7</v>
      </c>
    </row>
    <row r="2" spans="1:8" x14ac:dyDescent="0.25">
      <c r="A2" s="8" t="s">
        <v>8</v>
      </c>
      <c r="B2" s="16">
        <v>45658</v>
      </c>
      <c r="C2" s="9" t="s">
        <v>38</v>
      </c>
      <c r="D2" s="9" t="s">
        <v>68</v>
      </c>
      <c r="E2" s="9" t="s">
        <v>78</v>
      </c>
      <c r="F2" s="9">
        <v>1</v>
      </c>
      <c r="G2" s="10">
        <v>55000</v>
      </c>
      <c r="H2" s="10">
        <v>55000</v>
      </c>
    </row>
    <row r="3" spans="1:8" x14ac:dyDescent="0.25">
      <c r="A3" s="11" t="s">
        <v>9</v>
      </c>
      <c r="B3" s="16">
        <v>45659</v>
      </c>
      <c r="C3" s="12" t="s">
        <v>39</v>
      </c>
      <c r="D3" s="12" t="s">
        <v>69</v>
      </c>
      <c r="E3" s="12" t="s">
        <v>78</v>
      </c>
      <c r="F3" s="12">
        <v>2</v>
      </c>
      <c r="G3" s="7">
        <v>20000</v>
      </c>
      <c r="H3" s="7">
        <v>40000</v>
      </c>
    </row>
    <row r="4" spans="1:8" x14ac:dyDescent="0.25">
      <c r="A4" s="13" t="s">
        <v>10</v>
      </c>
      <c r="B4" s="16">
        <v>45660</v>
      </c>
      <c r="C4" s="14" t="s">
        <v>40</v>
      </c>
      <c r="D4" s="14" t="s">
        <v>70</v>
      </c>
      <c r="E4" s="14" t="s">
        <v>78</v>
      </c>
      <c r="F4" s="14">
        <v>1</v>
      </c>
      <c r="G4" s="15">
        <v>30000</v>
      </c>
      <c r="H4" s="15">
        <v>30000</v>
      </c>
    </row>
    <row r="5" spans="1:8" x14ac:dyDescent="0.25">
      <c r="A5" s="11" t="s">
        <v>11</v>
      </c>
      <c r="B5" s="16">
        <v>45661</v>
      </c>
      <c r="C5" s="12" t="s">
        <v>41</v>
      </c>
      <c r="D5" s="12" t="s">
        <v>71</v>
      </c>
      <c r="E5" s="12" t="s">
        <v>79</v>
      </c>
      <c r="F5" s="12">
        <v>3</v>
      </c>
      <c r="G5" s="7">
        <v>2000</v>
      </c>
      <c r="H5" s="7">
        <v>6000</v>
      </c>
    </row>
    <row r="6" spans="1:8" x14ac:dyDescent="0.25">
      <c r="A6" s="13" t="s">
        <v>12</v>
      </c>
      <c r="B6" s="16">
        <v>45662</v>
      </c>
      <c r="C6" s="14" t="s">
        <v>42</v>
      </c>
      <c r="D6" s="14" t="s">
        <v>72</v>
      </c>
      <c r="E6" s="14" t="s">
        <v>78</v>
      </c>
      <c r="F6" s="14">
        <v>2</v>
      </c>
      <c r="G6" s="15">
        <v>15000</v>
      </c>
      <c r="H6" s="15">
        <v>30000</v>
      </c>
    </row>
    <row r="7" spans="1:8" x14ac:dyDescent="0.25">
      <c r="A7" s="11" t="s">
        <v>13</v>
      </c>
      <c r="B7" s="16">
        <v>45663</v>
      </c>
      <c r="C7" s="12" t="s">
        <v>43</v>
      </c>
      <c r="D7" s="12" t="s">
        <v>73</v>
      </c>
      <c r="E7" s="12" t="s">
        <v>79</v>
      </c>
      <c r="F7" s="12">
        <v>1</v>
      </c>
      <c r="G7" s="7">
        <v>1500</v>
      </c>
      <c r="H7" s="7">
        <v>1500</v>
      </c>
    </row>
    <row r="8" spans="1:8" x14ac:dyDescent="0.25">
      <c r="A8" s="13" t="s">
        <v>14</v>
      </c>
      <c r="B8" s="16">
        <v>45664</v>
      </c>
      <c r="C8" s="14" t="s">
        <v>44</v>
      </c>
      <c r="D8" s="14" t="s">
        <v>74</v>
      </c>
      <c r="E8" s="14" t="s">
        <v>79</v>
      </c>
      <c r="F8" s="14">
        <v>2</v>
      </c>
      <c r="G8" s="15">
        <v>800</v>
      </c>
      <c r="H8" s="15">
        <v>1600</v>
      </c>
    </row>
    <row r="9" spans="1:8" x14ac:dyDescent="0.25">
      <c r="A9" s="11" t="s">
        <v>15</v>
      </c>
      <c r="B9" s="16">
        <v>45665</v>
      </c>
      <c r="C9" s="12" t="s">
        <v>45</v>
      </c>
      <c r="D9" s="12" t="s">
        <v>75</v>
      </c>
      <c r="E9" s="12" t="s">
        <v>78</v>
      </c>
      <c r="F9" s="12">
        <v>1</v>
      </c>
      <c r="G9" s="7">
        <v>12000</v>
      </c>
      <c r="H9" s="7">
        <v>12000</v>
      </c>
    </row>
    <row r="10" spans="1:8" x14ac:dyDescent="0.25">
      <c r="A10" s="13" t="s">
        <v>16</v>
      </c>
      <c r="B10" s="16">
        <v>45666</v>
      </c>
      <c r="C10" s="14" t="s">
        <v>46</v>
      </c>
      <c r="D10" s="14" t="s">
        <v>76</v>
      </c>
      <c r="E10" s="14" t="s">
        <v>78</v>
      </c>
      <c r="F10" s="14">
        <v>1</v>
      </c>
      <c r="G10" s="15">
        <v>25000</v>
      </c>
      <c r="H10" s="15">
        <v>25000</v>
      </c>
    </row>
    <row r="11" spans="1:8" x14ac:dyDescent="0.25">
      <c r="A11" s="11" t="s">
        <v>17</v>
      </c>
      <c r="B11" s="16">
        <v>45667</v>
      </c>
      <c r="C11" s="12" t="s">
        <v>47</v>
      </c>
      <c r="D11" s="12" t="s">
        <v>77</v>
      </c>
      <c r="E11" s="12" t="s">
        <v>78</v>
      </c>
      <c r="F11" s="12">
        <v>2</v>
      </c>
      <c r="G11" s="7">
        <v>18000</v>
      </c>
      <c r="H11" s="7">
        <v>36000</v>
      </c>
    </row>
    <row r="12" spans="1:8" x14ac:dyDescent="0.25">
      <c r="A12" s="13" t="s">
        <v>18</v>
      </c>
      <c r="B12" s="16">
        <v>45668</v>
      </c>
      <c r="C12" s="14" t="s">
        <v>48</v>
      </c>
      <c r="D12" s="14" t="s">
        <v>68</v>
      </c>
      <c r="E12" s="14" t="s">
        <v>78</v>
      </c>
      <c r="F12" s="14">
        <v>1</v>
      </c>
      <c r="G12" s="15">
        <v>55000</v>
      </c>
      <c r="H12" s="15">
        <v>55000</v>
      </c>
    </row>
    <row r="13" spans="1:8" x14ac:dyDescent="0.25">
      <c r="A13" s="11" t="s">
        <v>19</v>
      </c>
      <c r="B13" s="16">
        <v>45669</v>
      </c>
      <c r="C13" s="12" t="s">
        <v>49</v>
      </c>
      <c r="D13" s="12" t="s">
        <v>69</v>
      </c>
      <c r="E13" s="12" t="s">
        <v>78</v>
      </c>
      <c r="F13" s="12">
        <v>2</v>
      </c>
      <c r="G13" s="7">
        <v>20000</v>
      </c>
      <c r="H13" s="7">
        <v>40000</v>
      </c>
    </row>
    <row r="14" spans="1:8" x14ac:dyDescent="0.25">
      <c r="A14" s="13" t="s">
        <v>20</v>
      </c>
      <c r="B14" s="16">
        <v>45670</v>
      </c>
      <c r="C14" s="14" t="s">
        <v>50</v>
      </c>
      <c r="D14" s="14" t="s">
        <v>70</v>
      </c>
      <c r="E14" s="14" t="s">
        <v>78</v>
      </c>
      <c r="F14" s="14">
        <v>1</v>
      </c>
      <c r="G14" s="15">
        <v>30000</v>
      </c>
      <c r="H14" s="15">
        <v>30000</v>
      </c>
    </row>
    <row r="15" spans="1:8" x14ac:dyDescent="0.25">
      <c r="A15" s="11" t="s">
        <v>21</v>
      </c>
      <c r="B15" s="16">
        <v>45671</v>
      </c>
      <c r="C15" s="12" t="s">
        <v>51</v>
      </c>
      <c r="D15" s="12" t="s">
        <v>71</v>
      </c>
      <c r="E15" s="12" t="s">
        <v>79</v>
      </c>
      <c r="F15" s="12">
        <v>3</v>
      </c>
      <c r="G15" s="7">
        <v>2000</v>
      </c>
      <c r="H15" s="7">
        <v>6000</v>
      </c>
    </row>
    <row r="16" spans="1:8" x14ac:dyDescent="0.25">
      <c r="A16" s="13" t="s">
        <v>22</v>
      </c>
      <c r="B16" s="16">
        <v>45672</v>
      </c>
      <c r="C16" s="14" t="s">
        <v>52</v>
      </c>
      <c r="D16" s="14" t="s">
        <v>72</v>
      </c>
      <c r="E16" s="14" t="s">
        <v>78</v>
      </c>
      <c r="F16" s="14">
        <v>2</v>
      </c>
      <c r="G16" s="15">
        <v>15000</v>
      </c>
      <c r="H16" s="15">
        <v>30000</v>
      </c>
    </row>
    <row r="17" spans="1:8" x14ac:dyDescent="0.25">
      <c r="A17" s="11" t="s">
        <v>23</v>
      </c>
      <c r="B17" s="16">
        <v>45673</v>
      </c>
      <c r="C17" s="12" t="s">
        <v>53</v>
      </c>
      <c r="D17" s="12" t="s">
        <v>73</v>
      </c>
      <c r="E17" s="12" t="s">
        <v>79</v>
      </c>
      <c r="F17" s="12">
        <v>1</v>
      </c>
      <c r="G17" s="7">
        <v>1500</v>
      </c>
      <c r="H17" s="7">
        <v>1500</v>
      </c>
    </row>
    <row r="18" spans="1:8" x14ac:dyDescent="0.25">
      <c r="A18" s="13" t="s">
        <v>24</v>
      </c>
      <c r="B18" s="16">
        <v>45674</v>
      </c>
      <c r="C18" s="14" t="s">
        <v>54</v>
      </c>
      <c r="D18" s="14" t="s">
        <v>74</v>
      </c>
      <c r="E18" s="14" t="s">
        <v>79</v>
      </c>
      <c r="F18" s="14">
        <v>2</v>
      </c>
      <c r="G18" s="15">
        <v>800</v>
      </c>
      <c r="H18" s="15">
        <v>1600</v>
      </c>
    </row>
    <row r="19" spans="1:8" x14ac:dyDescent="0.25">
      <c r="A19" s="11" t="s">
        <v>25</v>
      </c>
      <c r="B19" s="16">
        <v>45675</v>
      </c>
      <c r="C19" s="12" t="s">
        <v>55</v>
      </c>
      <c r="D19" s="12" t="s">
        <v>75</v>
      </c>
      <c r="E19" s="12" t="s">
        <v>78</v>
      </c>
      <c r="F19" s="12">
        <v>1</v>
      </c>
      <c r="G19" s="7">
        <v>12000</v>
      </c>
      <c r="H19" s="7">
        <v>12000</v>
      </c>
    </row>
    <row r="20" spans="1:8" x14ac:dyDescent="0.25">
      <c r="A20" s="13" t="s">
        <v>26</v>
      </c>
      <c r="B20" s="16">
        <v>45676</v>
      </c>
      <c r="C20" s="14" t="s">
        <v>56</v>
      </c>
      <c r="D20" s="14" t="s">
        <v>76</v>
      </c>
      <c r="E20" s="14" t="s">
        <v>78</v>
      </c>
      <c r="F20" s="14">
        <v>1</v>
      </c>
      <c r="G20" s="15">
        <v>25000</v>
      </c>
      <c r="H20" s="15">
        <v>25000</v>
      </c>
    </row>
    <row r="21" spans="1:8" x14ac:dyDescent="0.25">
      <c r="A21" s="11" t="s">
        <v>27</v>
      </c>
      <c r="B21" s="16">
        <v>45677</v>
      </c>
      <c r="C21" s="12" t="s">
        <v>57</v>
      </c>
      <c r="D21" s="12" t="s">
        <v>77</v>
      </c>
      <c r="E21" s="12" t="s">
        <v>78</v>
      </c>
      <c r="F21" s="12">
        <v>2</v>
      </c>
      <c r="G21" s="7">
        <v>18000</v>
      </c>
      <c r="H21" s="7">
        <v>36000</v>
      </c>
    </row>
    <row r="22" spans="1:8" x14ac:dyDescent="0.25">
      <c r="A22" s="13" t="s">
        <v>28</v>
      </c>
      <c r="B22" s="16">
        <v>45678</v>
      </c>
      <c r="C22" s="14" t="s">
        <v>58</v>
      </c>
      <c r="D22" s="14" t="s">
        <v>68</v>
      </c>
      <c r="E22" s="14" t="s">
        <v>78</v>
      </c>
      <c r="F22" s="14">
        <v>1</v>
      </c>
      <c r="G22" s="15">
        <v>55000</v>
      </c>
      <c r="H22" s="15">
        <v>55000</v>
      </c>
    </row>
    <row r="23" spans="1:8" x14ac:dyDescent="0.25">
      <c r="A23" s="11" t="s">
        <v>29</v>
      </c>
      <c r="B23" s="16">
        <v>45679</v>
      </c>
      <c r="C23" s="12" t="s">
        <v>59</v>
      </c>
      <c r="D23" s="12" t="s">
        <v>69</v>
      </c>
      <c r="E23" s="12" t="s">
        <v>78</v>
      </c>
      <c r="F23" s="12">
        <v>2</v>
      </c>
      <c r="G23" s="7">
        <v>20000</v>
      </c>
      <c r="H23" s="7">
        <v>40000</v>
      </c>
    </row>
    <row r="24" spans="1:8" x14ac:dyDescent="0.25">
      <c r="A24" s="13" t="s">
        <v>30</v>
      </c>
      <c r="B24" s="16">
        <v>45680</v>
      </c>
      <c r="C24" s="14" t="s">
        <v>60</v>
      </c>
      <c r="D24" s="14" t="s">
        <v>70</v>
      </c>
      <c r="E24" s="14" t="s">
        <v>78</v>
      </c>
      <c r="F24" s="14">
        <v>1</v>
      </c>
      <c r="G24" s="15">
        <v>30000</v>
      </c>
      <c r="H24" s="15">
        <v>30000</v>
      </c>
    </row>
    <row r="25" spans="1:8" x14ac:dyDescent="0.25">
      <c r="A25" s="11" t="s">
        <v>31</v>
      </c>
      <c r="B25" s="16">
        <v>45681</v>
      </c>
      <c r="C25" s="12" t="s">
        <v>61</v>
      </c>
      <c r="D25" s="12" t="s">
        <v>71</v>
      </c>
      <c r="E25" s="12" t="s">
        <v>79</v>
      </c>
      <c r="F25" s="12">
        <v>3</v>
      </c>
      <c r="G25" s="7">
        <v>2000</v>
      </c>
      <c r="H25" s="7">
        <v>6000</v>
      </c>
    </row>
    <row r="26" spans="1:8" x14ac:dyDescent="0.25">
      <c r="A26" s="13" t="s">
        <v>32</v>
      </c>
      <c r="B26" s="16">
        <v>45682</v>
      </c>
      <c r="C26" s="14" t="s">
        <v>62</v>
      </c>
      <c r="D26" s="14" t="s">
        <v>72</v>
      </c>
      <c r="E26" s="14" t="s">
        <v>78</v>
      </c>
      <c r="F26" s="14">
        <v>2</v>
      </c>
      <c r="G26" s="15">
        <v>15000</v>
      </c>
      <c r="H26" s="15">
        <v>30000</v>
      </c>
    </row>
    <row r="27" spans="1:8" x14ac:dyDescent="0.25">
      <c r="A27" s="11" t="s">
        <v>33</v>
      </c>
      <c r="B27" s="16">
        <v>45683</v>
      </c>
      <c r="C27" s="12" t="s">
        <v>63</v>
      </c>
      <c r="D27" s="12" t="s">
        <v>73</v>
      </c>
      <c r="E27" s="12" t="s">
        <v>79</v>
      </c>
      <c r="F27" s="12">
        <v>1</v>
      </c>
      <c r="G27" s="7">
        <v>1500</v>
      </c>
      <c r="H27" s="7">
        <v>1500</v>
      </c>
    </row>
    <row r="28" spans="1:8" x14ac:dyDescent="0.25">
      <c r="A28" s="13" t="s">
        <v>34</v>
      </c>
      <c r="B28" s="16">
        <v>45684</v>
      </c>
      <c r="C28" s="14" t="s">
        <v>64</v>
      </c>
      <c r="D28" s="14" t="s">
        <v>74</v>
      </c>
      <c r="E28" s="14" t="s">
        <v>79</v>
      </c>
      <c r="F28" s="14">
        <v>2</v>
      </c>
      <c r="G28" s="15">
        <v>800</v>
      </c>
      <c r="H28" s="15">
        <v>1600</v>
      </c>
    </row>
    <row r="29" spans="1:8" x14ac:dyDescent="0.25">
      <c r="A29" s="11" t="s">
        <v>35</v>
      </c>
      <c r="B29" s="16">
        <v>45685</v>
      </c>
      <c r="C29" s="12" t="s">
        <v>65</v>
      </c>
      <c r="D29" s="12" t="s">
        <v>75</v>
      </c>
      <c r="E29" s="12" t="s">
        <v>78</v>
      </c>
      <c r="F29" s="12">
        <v>1</v>
      </c>
      <c r="G29" s="7">
        <v>12000</v>
      </c>
      <c r="H29" s="7">
        <v>12000</v>
      </c>
    </row>
    <row r="30" spans="1:8" x14ac:dyDescent="0.25">
      <c r="A30" s="13" t="s">
        <v>36</v>
      </c>
      <c r="B30" s="16">
        <v>45686</v>
      </c>
      <c r="C30" s="14" t="s">
        <v>66</v>
      </c>
      <c r="D30" s="14" t="s">
        <v>76</v>
      </c>
      <c r="E30" s="14" t="s">
        <v>78</v>
      </c>
      <c r="F30" s="14">
        <v>1</v>
      </c>
      <c r="G30" s="15">
        <v>25000</v>
      </c>
      <c r="H30" s="15">
        <v>25000</v>
      </c>
    </row>
    <row r="31" spans="1:8" x14ac:dyDescent="0.25">
      <c r="A31" s="11" t="s">
        <v>37</v>
      </c>
      <c r="B31" s="16">
        <v>45687</v>
      </c>
      <c r="C31" s="12" t="s">
        <v>67</v>
      </c>
      <c r="D31" s="12" t="s">
        <v>77</v>
      </c>
      <c r="E31" s="12" t="s">
        <v>78</v>
      </c>
      <c r="F31" s="12">
        <v>2</v>
      </c>
      <c r="G31" s="7">
        <v>18000</v>
      </c>
      <c r="H31" s="7">
        <v>36000</v>
      </c>
    </row>
    <row r="32" spans="1:8" x14ac:dyDescent="0.25">
      <c r="A32" s="1"/>
      <c r="B32" s="2"/>
      <c r="C32" s="1"/>
      <c r="D32" s="1"/>
      <c r="E32" s="1"/>
      <c r="F32" s="1"/>
      <c r="G32" s="3"/>
      <c r="H32" s="3"/>
    </row>
    <row r="33" spans="1:8" x14ac:dyDescent="0.25">
      <c r="A33" s="1"/>
      <c r="B33" s="2"/>
      <c r="C33" s="1"/>
      <c r="D33" s="1"/>
      <c r="E33" s="1"/>
      <c r="F33" s="1"/>
      <c r="G33" s="3"/>
      <c r="H33" s="3"/>
    </row>
    <row r="37" spans="1:8" x14ac:dyDescent="0.25">
      <c r="G37" t="e">
        <f>-Raw_Sales_Data.xlsx!h</f>
        <v>#NAME?</v>
      </c>
    </row>
  </sheetData>
  <pageMargins left="0.7" right="0.7" top="0.75" bottom="0.75" header="0.3" footer="0.3"/>
  <pageSetup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9366-D582-4BA1-8100-5E3CFE26B8CA}">
  <dimension ref="A1:G2"/>
  <sheetViews>
    <sheetView workbookViewId="0">
      <selection activeCell="E8" sqref="E8"/>
    </sheetView>
  </sheetViews>
  <sheetFormatPr defaultRowHeight="15" x14ac:dyDescent="0.25"/>
  <cols>
    <col min="1" max="1" width="17.140625" customWidth="1"/>
    <col min="3" max="3" width="14" customWidth="1"/>
    <col min="5" max="5" width="19.28515625" customWidth="1"/>
    <col min="7" max="7" width="26.5703125" customWidth="1"/>
  </cols>
  <sheetData>
    <row r="1" spans="1:7" x14ac:dyDescent="0.25">
      <c r="A1" t="s">
        <v>80</v>
      </c>
      <c r="C1" t="s">
        <v>81</v>
      </c>
      <c r="E1" t="s">
        <v>82</v>
      </c>
      <c r="G1" t="s">
        <v>83</v>
      </c>
    </row>
    <row r="2" spans="1:7" x14ac:dyDescent="0.25">
      <c r="A2">
        <f>SUM('Cleaned_Sales_Data.xlsx'!$H$2:$H$31)</f>
        <v>711300</v>
      </c>
      <c r="C2">
        <f>COUNTA('Cleaned_Sales_Data.xlsx'!$A$2:$A$31)</f>
        <v>30</v>
      </c>
      <c r="E2">
        <f>SUM('Cleaned_Sales_Data.xlsx'!$F$2:$F$31)</f>
        <v>48</v>
      </c>
      <c r="G2"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3CD9-A81C-4D52-AE62-57F8355DFEE8}">
  <dimension ref="A1:K26"/>
  <sheetViews>
    <sheetView workbookViewId="0">
      <selection activeCell="E22" sqref="E22"/>
    </sheetView>
  </sheetViews>
  <sheetFormatPr defaultRowHeight="15" x14ac:dyDescent="0.25"/>
  <cols>
    <col min="1" max="1" width="13.140625" bestFit="1" customWidth="1"/>
    <col min="2" max="2" width="17.85546875" bestFit="1" customWidth="1"/>
    <col min="4" max="4" width="13.140625" bestFit="1" customWidth="1"/>
    <col min="5" max="5" width="17.85546875" bestFit="1" customWidth="1"/>
    <col min="7" max="7" width="13.140625" bestFit="1" customWidth="1"/>
    <col min="8" max="8" width="17" bestFit="1" customWidth="1"/>
    <col min="9" max="10" width="13.140625" bestFit="1" customWidth="1"/>
    <col min="11" max="13" width="17.85546875" bestFit="1" customWidth="1"/>
    <col min="14" max="14" width="9.42578125" bestFit="1" customWidth="1"/>
    <col min="15" max="15" width="7" bestFit="1" customWidth="1"/>
    <col min="16" max="16" width="7.42578125" bestFit="1" customWidth="1"/>
    <col min="17" max="17" width="8.28515625" bestFit="1" customWidth="1"/>
    <col min="18" max="19" width="7.140625" bestFit="1" customWidth="1"/>
    <col min="20" max="20" width="11.42578125" bestFit="1" customWidth="1"/>
    <col min="21" max="21" width="6.5703125" bestFit="1" customWidth="1"/>
    <col min="22" max="22" width="11.28515625" bestFit="1" customWidth="1"/>
    <col min="23" max="23" width="13.28515625" bestFit="1" customWidth="1"/>
    <col min="24" max="24" width="9" bestFit="1" customWidth="1"/>
    <col min="25" max="25" width="12" bestFit="1" customWidth="1"/>
    <col min="26" max="26" width="9" bestFit="1" customWidth="1"/>
    <col min="27" max="27" width="12" bestFit="1" customWidth="1"/>
    <col min="28" max="28" width="13.28515625" bestFit="1" customWidth="1"/>
    <col min="29" max="29" width="16.42578125" bestFit="1" customWidth="1"/>
    <col min="30" max="30" width="8.42578125" bestFit="1" customWidth="1"/>
    <col min="31" max="31" width="11.42578125" bestFit="1" customWidth="1"/>
    <col min="32" max="32" width="11.28515625" bestFit="1" customWidth="1"/>
  </cols>
  <sheetData>
    <row r="1" spans="1:11" x14ac:dyDescent="0.25">
      <c r="J1" s="4" t="s">
        <v>84</v>
      </c>
      <c r="K1" t="s">
        <v>86</v>
      </c>
    </row>
    <row r="2" spans="1:11" x14ac:dyDescent="0.25">
      <c r="J2" s="5" t="s">
        <v>76</v>
      </c>
      <c r="K2" s="6">
        <v>75000</v>
      </c>
    </row>
    <row r="3" spans="1:11" x14ac:dyDescent="0.25">
      <c r="A3" s="4" t="s">
        <v>84</v>
      </c>
      <c r="B3" t="s">
        <v>86</v>
      </c>
      <c r="J3" s="5" t="s">
        <v>71</v>
      </c>
      <c r="K3" s="6">
        <v>18000</v>
      </c>
    </row>
    <row r="4" spans="1:11" x14ac:dyDescent="0.25">
      <c r="A4" s="5" t="s">
        <v>79</v>
      </c>
      <c r="B4" s="6">
        <v>27300</v>
      </c>
      <c r="D4" s="4" t="s">
        <v>84</v>
      </c>
      <c r="E4" t="s">
        <v>86</v>
      </c>
      <c r="J4" s="5" t="s">
        <v>73</v>
      </c>
      <c r="K4" s="6">
        <v>4500</v>
      </c>
    </row>
    <row r="5" spans="1:11" x14ac:dyDescent="0.25">
      <c r="A5" s="5" t="s">
        <v>78</v>
      </c>
      <c r="B5" s="6">
        <v>684000</v>
      </c>
      <c r="D5" s="5" t="s">
        <v>76</v>
      </c>
      <c r="E5" s="6">
        <v>75000</v>
      </c>
      <c r="G5" s="4" t="s">
        <v>84</v>
      </c>
      <c r="J5" s="5" t="s">
        <v>68</v>
      </c>
      <c r="K5" s="6">
        <v>165000</v>
      </c>
    </row>
    <row r="6" spans="1:11" x14ac:dyDescent="0.25">
      <c r="A6" s="5" t="s">
        <v>85</v>
      </c>
      <c r="B6" s="6">
        <v>711300</v>
      </c>
      <c r="D6" s="5" t="s">
        <v>71</v>
      </c>
      <c r="E6" s="6">
        <v>18000</v>
      </c>
      <c r="G6" s="5" t="s">
        <v>76</v>
      </c>
      <c r="J6" s="5" t="s">
        <v>69</v>
      </c>
      <c r="K6" s="6">
        <v>120000</v>
      </c>
    </row>
    <row r="7" spans="1:11" x14ac:dyDescent="0.25">
      <c r="D7" s="5" t="s">
        <v>73</v>
      </c>
      <c r="E7" s="6">
        <v>4500</v>
      </c>
      <c r="G7" s="20" t="s">
        <v>78</v>
      </c>
      <c r="J7" s="5" t="s">
        <v>72</v>
      </c>
      <c r="K7" s="6">
        <v>90000</v>
      </c>
    </row>
    <row r="8" spans="1:11" x14ac:dyDescent="0.25">
      <c r="D8" s="5" t="s">
        <v>68</v>
      </c>
      <c r="E8" s="6">
        <v>165000</v>
      </c>
      <c r="G8" s="5" t="s">
        <v>71</v>
      </c>
      <c r="J8" s="5" t="s">
        <v>74</v>
      </c>
      <c r="K8" s="6">
        <v>4800</v>
      </c>
    </row>
    <row r="9" spans="1:11" x14ac:dyDescent="0.25">
      <c r="A9" s="4" t="s">
        <v>84</v>
      </c>
      <c r="D9" s="5" t="s">
        <v>69</v>
      </c>
      <c r="E9" s="6">
        <v>120000</v>
      </c>
      <c r="G9" s="20" t="s">
        <v>79</v>
      </c>
      <c r="H9" s="22" t="s">
        <v>87</v>
      </c>
      <c r="I9" s="22" t="s">
        <v>88</v>
      </c>
      <c r="J9" s="5" t="s">
        <v>75</v>
      </c>
      <c r="K9" s="6">
        <v>36000</v>
      </c>
    </row>
    <row r="10" spans="1:11" x14ac:dyDescent="0.25">
      <c r="A10" s="5" t="s">
        <v>76</v>
      </c>
      <c r="D10" s="5" t="s">
        <v>72</v>
      </c>
      <c r="E10" s="6">
        <v>90000</v>
      </c>
      <c r="G10" s="5" t="s">
        <v>73</v>
      </c>
      <c r="H10" t="s">
        <v>76</v>
      </c>
      <c r="I10">
        <v>25000</v>
      </c>
      <c r="J10" s="5" t="s">
        <v>77</v>
      </c>
      <c r="K10" s="6">
        <v>108000</v>
      </c>
    </row>
    <row r="11" spans="1:11" x14ac:dyDescent="0.25">
      <c r="A11" s="5" t="s">
        <v>71</v>
      </c>
      <c r="D11" s="5" t="s">
        <v>74</v>
      </c>
      <c r="E11" s="6">
        <v>4800</v>
      </c>
      <c r="G11" s="20" t="s">
        <v>79</v>
      </c>
      <c r="H11" t="s">
        <v>71</v>
      </c>
      <c r="I11">
        <v>2000</v>
      </c>
      <c r="J11" s="5" t="s">
        <v>70</v>
      </c>
      <c r="K11" s="6">
        <v>90000</v>
      </c>
    </row>
    <row r="12" spans="1:11" x14ac:dyDescent="0.25">
      <c r="A12" s="5" t="s">
        <v>73</v>
      </c>
      <c r="D12" s="5" t="s">
        <v>75</v>
      </c>
      <c r="E12" s="6">
        <v>36000</v>
      </c>
      <c r="G12" s="5" t="s">
        <v>68</v>
      </c>
      <c r="H12" t="s">
        <v>73</v>
      </c>
      <c r="I12">
        <v>1500</v>
      </c>
      <c r="J12" s="5" t="s">
        <v>85</v>
      </c>
      <c r="K12" s="6">
        <v>711300</v>
      </c>
    </row>
    <row r="13" spans="1:11" x14ac:dyDescent="0.25">
      <c r="A13" s="5" t="s">
        <v>68</v>
      </c>
      <c r="D13" s="5" t="s">
        <v>77</v>
      </c>
      <c r="E13" s="6">
        <v>108000</v>
      </c>
      <c r="G13" s="20" t="s">
        <v>78</v>
      </c>
      <c r="H13" t="s">
        <v>68</v>
      </c>
      <c r="I13">
        <v>55000</v>
      </c>
    </row>
    <row r="14" spans="1:11" x14ac:dyDescent="0.25">
      <c r="A14" s="5" t="s">
        <v>69</v>
      </c>
      <c r="D14" s="5" t="s">
        <v>70</v>
      </c>
      <c r="E14" s="6">
        <v>90000</v>
      </c>
      <c r="G14" s="5" t="s">
        <v>69</v>
      </c>
      <c r="H14" t="s">
        <v>69</v>
      </c>
      <c r="I14">
        <v>20000</v>
      </c>
    </row>
    <row r="15" spans="1:11" x14ac:dyDescent="0.25">
      <c r="A15" s="5" t="s">
        <v>72</v>
      </c>
      <c r="D15" s="5" t="s">
        <v>85</v>
      </c>
      <c r="E15" s="6">
        <v>711300</v>
      </c>
      <c r="G15" s="20" t="s">
        <v>78</v>
      </c>
      <c r="H15" t="s">
        <v>72</v>
      </c>
      <c r="I15">
        <v>15000</v>
      </c>
    </row>
    <row r="16" spans="1:11" x14ac:dyDescent="0.25">
      <c r="A16" s="5" t="s">
        <v>74</v>
      </c>
      <c r="G16" s="5" t="s">
        <v>72</v>
      </c>
      <c r="H16" t="s">
        <v>74</v>
      </c>
      <c r="I16">
        <v>800</v>
      </c>
    </row>
    <row r="17" spans="1:9" x14ac:dyDescent="0.25">
      <c r="A17" s="5" t="s">
        <v>75</v>
      </c>
      <c r="G17" s="20" t="s">
        <v>78</v>
      </c>
      <c r="H17" t="s">
        <v>75</v>
      </c>
      <c r="I17">
        <v>12000</v>
      </c>
    </row>
    <row r="18" spans="1:9" x14ac:dyDescent="0.25">
      <c r="A18" s="5" t="s">
        <v>77</v>
      </c>
      <c r="G18" s="5" t="s">
        <v>74</v>
      </c>
      <c r="H18" t="s">
        <v>77</v>
      </c>
      <c r="I18">
        <v>18000</v>
      </c>
    </row>
    <row r="19" spans="1:9" x14ac:dyDescent="0.25">
      <c r="A19" s="5" t="s">
        <v>70</v>
      </c>
      <c r="G19" s="20" t="s">
        <v>79</v>
      </c>
      <c r="H19" t="s">
        <v>70</v>
      </c>
      <c r="I19">
        <v>30000</v>
      </c>
    </row>
    <row r="20" spans="1:9" x14ac:dyDescent="0.25">
      <c r="A20" s="5" t="s">
        <v>85</v>
      </c>
      <c r="G20" s="5" t="s">
        <v>75</v>
      </c>
    </row>
    <row r="21" spans="1:9" x14ac:dyDescent="0.25">
      <c r="G21" s="20" t="s">
        <v>78</v>
      </c>
    </row>
    <row r="22" spans="1:9" x14ac:dyDescent="0.25">
      <c r="G22" s="5" t="s">
        <v>77</v>
      </c>
    </row>
    <row r="23" spans="1:9" x14ac:dyDescent="0.25">
      <c r="G23" s="20" t="s">
        <v>78</v>
      </c>
    </row>
    <row r="24" spans="1:9" x14ac:dyDescent="0.25">
      <c r="G24" s="5" t="s">
        <v>70</v>
      </c>
    </row>
    <row r="25" spans="1:9" x14ac:dyDescent="0.25">
      <c r="G25" s="20" t="s">
        <v>78</v>
      </c>
    </row>
    <row r="26" spans="1:9" x14ac:dyDescent="0.25">
      <c r="G26" s="5" t="s">
        <v>85</v>
      </c>
    </row>
  </sheetData>
  <pageMargins left="0.7" right="0.7" top="0.75" bottom="0.75" header="0.3" footer="0.3"/>
  <drawing r:id="rId6"/>
  <tableParts count="1">
    <tablePart r:id="rId7"/>
  </tableParts>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FEB5-43EE-423B-95E6-82F121C4C392}">
  <dimension ref="A1:K30"/>
  <sheetViews>
    <sheetView tabSelected="1" topLeftCell="A4" zoomScale="80" zoomScaleNormal="80" workbookViewId="0">
      <selection activeCell="L12" sqref="L12"/>
    </sheetView>
  </sheetViews>
  <sheetFormatPr defaultRowHeight="15" x14ac:dyDescent="0.25"/>
  <cols>
    <col min="1" max="11" width="12.7109375" customWidth="1"/>
  </cols>
  <sheetData>
    <row r="1" spans="1:11" ht="20.100000000000001" customHeight="1" x14ac:dyDescent="0.25">
      <c r="A1" s="21"/>
      <c r="B1" s="21"/>
      <c r="C1" s="21"/>
      <c r="D1" s="21"/>
      <c r="E1" s="21"/>
      <c r="F1" s="21"/>
      <c r="G1" s="21"/>
      <c r="H1" s="21"/>
      <c r="I1" s="21"/>
      <c r="J1" s="21"/>
      <c r="K1" s="21"/>
    </row>
    <row r="2" spans="1:11" ht="22.5" customHeight="1" x14ac:dyDescent="0.25">
      <c r="A2" s="21"/>
      <c r="B2" s="21"/>
      <c r="C2" s="21"/>
      <c r="D2" s="21"/>
      <c r="E2" s="21"/>
      <c r="F2" s="21"/>
      <c r="G2" s="21"/>
      <c r="H2" s="21"/>
      <c r="I2" s="21"/>
      <c r="J2" s="21"/>
      <c r="K2" s="21"/>
    </row>
    <row r="3" spans="1:11" ht="20.100000000000001" customHeight="1" x14ac:dyDescent="0.25"/>
    <row r="4" spans="1:11" ht="20.100000000000001" customHeight="1" x14ac:dyDescent="0.25"/>
    <row r="5" spans="1:11" ht="20.100000000000001" customHeight="1" x14ac:dyDescent="0.25"/>
    <row r="6" spans="1:11" ht="20.100000000000001" customHeight="1" x14ac:dyDescent="0.25"/>
    <row r="7" spans="1:11" ht="20.100000000000001" customHeight="1" x14ac:dyDescent="0.25"/>
    <row r="8" spans="1:11" ht="20.100000000000001" customHeight="1" x14ac:dyDescent="0.25"/>
    <row r="9" spans="1:11" ht="20.100000000000001" customHeight="1" x14ac:dyDescent="0.25"/>
    <row r="10" spans="1:11" ht="20.100000000000001" customHeight="1" x14ac:dyDescent="0.25"/>
    <row r="11" spans="1:11" ht="20.100000000000001" customHeight="1" x14ac:dyDescent="0.25"/>
    <row r="12" spans="1:11" ht="20.100000000000001" customHeight="1" x14ac:dyDescent="0.25"/>
    <row r="13" spans="1:11" ht="20.100000000000001" customHeight="1" x14ac:dyDescent="0.25"/>
    <row r="14" spans="1:11" ht="20.100000000000001" customHeight="1" x14ac:dyDescent="0.25"/>
    <row r="15" spans="1:11" ht="20.100000000000001" customHeight="1" x14ac:dyDescent="0.25"/>
    <row r="16" spans="1:11"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BBF7E8-985F-4901-B31C-6DAD80C180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Raw_Sales_Data.xlsx</vt:lpstr>
      <vt:lpstr>Cleaned_Sales_Data.xlsx</vt:lpstr>
      <vt:lpstr>Calculated Values</vt:lpstr>
      <vt:lpstr> Pivot_Tables.xlsxx</vt:lpstr>
      <vt:lpstr>Excel_Dashboard.xlsx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2026-01-11T08:34:55Z</dcterms:created>
  <dcterms:modified xsi:type="dcterms:W3CDTF">2026-01-21T05:04:25Z</dcterms:modified>
</cp:coreProperties>
</file>